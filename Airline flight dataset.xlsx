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166925"/>
  <mc:AlternateContent xmlns:mc="http://schemas.openxmlformats.org/markup-compatibility/2006">
    <mc:Choice Requires="x15">
      <x15ac:absPath xmlns:x15ac="http://schemas.microsoft.com/office/spreadsheetml/2010/11/ac" url="C:\Users\DELL\Desktop\ITVedant\Excel\"/>
    </mc:Choice>
  </mc:AlternateContent>
  <xr:revisionPtr revIDLastSave="0" documentId="13_ncr:1_{037127E0-2767-4B67-A45B-07CD6FBE5AFC}" xr6:coauthVersionLast="47" xr6:coauthVersionMax="47" xr10:uidLastSave="{00000000-0000-0000-0000-000000000000}"/>
  <bookViews>
    <workbookView xWindow="-108" yWindow="-108" windowWidth="23256" windowHeight="12456" activeTab="1" xr2:uid="{3C42E7D4-EC90-4827-A456-B88968AE3195}"/>
  </bookViews>
  <sheets>
    <sheet name="Sheet2" sheetId="2" r:id="rId1"/>
    <sheet name="Sheet3" sheetId="3" r:id="rId2"/>
    <sheet name="Sheet1" sheetId="1" r:id="rId3"/>
    <sheet name="Sheet4" sheetId="4" r:id="rId4"/>
  </sheets>
  <definedNames>
    <definedName name="Slicer_Airline">#N/A</definedName>
    <definedName name="Slicer_Flight_No">#N/A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5" i="1" l="1"/>
  <c r="Q5" i="1"/>
  <c r="P5" i="1"/>
  <c r="C7" i="4"/>
  <c r="D65" i="1"/>
  <c r="D62" i="1"/>
  <c r="O5" i="1"/>
  <c r="K12" i="1"/>
  <c r="L12" i="1"/>
  <c r="M12" i="1"/>
  <c r="L8" i="1"/>
  <c r="L7" i="1"/>
  <c r="L5" i="1"/>
  <c r="L6" i="1"/>
</calcChain>
</file>

<file path=xl/sharedStrings.xml><?xml version="1.0" encoding="utf-8"?>
<sst xmlns="http://schemas.openxmlformats.org/spreadsheetml/2006/main" count="426" uniqueCount="135">
  <si>
    <t>Flight No</t>
  </si>
  <si>
    <t>Airline</t>
  </si>
  <si>
    <t>Origin</t>
  </si>
  <si>
    <t>Destination</t>
  </si>
  <si>
    <t>Duration</t>
  </si>
  <si>
    <t>Status</t>
  </si>
  <si>
    <t>Delay (min)</t>
  </si>
  <si>
    <t>AA101</t>
  </si>
  <si>
    <t>American</t>
  </si>
  <si>
    <t>JFK</t>
  </si>
  <si>
    <t>LAX</t>
  </si>
  <si>
    <t>6h</t>
  </si>
  <si>
    <t>On Time</t>
  </si>
  <si>
    <t>DL202</t>
  </si>
  <si>
    <t>Delta</t>
  </si>
  <si>
    <t>ATL</t>
  </si>
  <si>
    <t>ORD</t>
  </si>
  <si>
    <t>2h</t>
  </si>
  <si>
    <t>Delayed</t>
  </si>
  <si>
    <t>UA303</t>
  </si>
  <si>
    <t>United</t>
  </si>
  <si>
    <t>SFO</t>
  </si>
  <si>
    <t>5h</t>
  </si>
  <si>
    <t>SW404</t>
  </si>
  <si>
    <t>Southwest</t>
  </si>
  <si>
    <t>DAL</t>
  </si>
  <si>
    <t>HOU</t>
  </si>
  <si>
    <t>1h</t>
  </si>
  <si>
    <t>JB505</t>
  </si>
  <si>
    <t>JetBlue</t>
  </si>
  <si>
    <t>BOS</t>
  </si>
  <si>
    <t>MCO</t>
  </si>
  <si>
    <t>3.5h</t>
  </si>
  <si>
    <t>Cancelled</t>
  </si>
  <si>
    <t>—</t>
  </si>
  <si>
    <t>AA606</t>
  </si>
  <si>
    <t>SEA</t>
  </si>
  <si>
    <t>2.5h</t>
  </si>
  <si>
    <t>DL707</t>
  </si>
  <si>
    <t>UA808</t>
  </si>
  <si>
    <t>DEN</t>
  </si>
  <si>
    <t>1.75h</t>
  </si>
  <si>
    <t>SW909</t>
  </si>
  <si>
    <t>PHX</t>
  </si>
  <si>
    <t>LAS</t>
  </si>
  <si>
    <t>JB010</t>
  </si>
  <si>
    <t>FLL</t>
  </si>
  <si>
    <t>3h</t>
  </si>
  <si>
    <t>AA111</t>
  </si>
  <si>
    <t>CLT</t>
  </si>
  <si>
    <t>DFW</t>
  </si>
  <si>
    <t>2.25h</t>
  </si>
  <si>
    <t>DL212</t>
  </si>
  <si>
    <t>MIA</t>
  </si>
  <si>
    <t>1.83h</t>
  </si>
  <si>
    <t>UA313</t>
  </si>
  <si>
    <t>IAD</t>
  </si>
  <si>
    <t>SW414</t>
  </si>
  <si>
    <t>1.08h</t>
  </si>
  <si>
    <t>JB515</t>
  </si>
  <si>
    <t>1.25h</t>
  </si>
  <si>
    <t>AA616</t>
  </si>
  <si>
    <t>3.33h</t>
  </si>
  <si>
    <t>DL717</t>
  </si>
  <si>
    <t>SLC</t>
  </si>
  <si>
    <t>1.5h</t>
  </si>
  <si>
    <t>UA818</t>
  </si>
  <si>
    <t>SW919</t>
  </si>
  <si>
    <t>JB020</t>
  </si>
  <si>
    <t>AA121</t>
  </si>
  <si>
    <t>LGA</t>
  </si>
  <si>
    <t>3.67h</t>
  </si>
  <si>
    <t>DL222</t>
  </si>
  <si>
    <t>UA323</t>
  </si>
  <si>
    <t>SW424</t>
  </si>
  <si>
    <t>STL</t>
  </si>
  <si>
    <t>JB525</t>
  </si>
  <si>
    <t>3.75h</t>
  </si>
  <si>
    <t>AA626</t>
  </si>
  <si>
    <t>4.67h</t>
  </si>
  <si>
    <t>DL727</t>
  </si>
  <si>
    <t>3.25h</t>
  </si>
  <si>
    <t>UA828</t>
  </si>
  <si>
    <t>IAH</t>
  </si>
  <si>
    <t>SW929</t>
  </si>
  <si>
    <t>JB030</t>
  </si>
  <si>
    <t>AA131</t>
  </si>
  <si>
    <t>DL232</t>
  </si>
  <si>
    <t>UA333</t>
  </si>
  <si>
    <t>SW434</t>
  </si>
  <si>
    <t>JB535</t>
  </si>
  <si>
    <t>AA636</t>
  </si>
  <si>
    <t>DL737</t>
  </si>
  <si>
    <t>UA838</t>
  </si>
  <si>
    <t>SW939</t>
  </si>
  <si>
    <t>1.42h</t>
  </si>
  <si>
    <t>JB040</t>
  </si>
  <si>
    <t>2.67h</t>
  </si>
  <si>
    <t>AA141</t>
  </si>
  <si>
    <t>DL242</t>
  </si>
  <si>
    <t>DCA</t>
  </si>
  <si>
    <t>1.58h</t>
  </si>
  <si>
    <t>UA343</t>
  </si>
  <si>
    <t>SW444</t>
  </si>
  <si>
    <t>AUS</t>
  </si>
  <si>
    <t>1.17h</t>
  </si>
  <si>
    <t>JB545</t>
  </si>
  <si>
    <t>AA646</t>
  </si>
  <si>
    <t>DL747</t>
  </si>
  <si>
    <t>AIRLINE FLIGHT DATASET</t>
  </si>
  <si>
    <t>Departure Time</t>
  </si>
  <si>
    <t>Arrival  Time</t>
  </si>
  <si>
    <t>Sum</t>
  </si>
  <si>
    <t>Column1</t>
  </si>
  <si>
    <t>Average</t>
  </si>
  <si>
    <t>Column2</t>
  </si>
  <si>
    <t>Count</t>
  </si>
  <si>
    <t>IF</t>
  </si>
  <si>
    <t>Nested If</t>
  </si>
  <si>
    <t>And IF</t>
  </si>
  <si>
    <t>OR IF</t>
  </si>
  <si>
    <t>SUMIFS(Total delay for American flights from LAX)</t>
  </si>
  <si>
    <t>SUMIF(Total delay minutes for Delta flights)</t>
  </si>
  <si>
    <t>COUNTIF(how many flights are Delayed)</t>
  </si>
  <si>
    <t>COUNTIFS(flights that are American AND Cancelled)</t>
  </si>
  <si>
    <t>Row Labels</t>
  </si>
  <si>
    <t>Grand Total</t>
  </si>
  <si>
    <t>Count of Flight No</t>
  </si>
  <si>
    <t>Count of Delay (min)</t>
  </si>
  <si>
    <t>Column Labels</t>
  </si>
  <si>
    <t>Pivot  Chart</t>
  </si>
  <si>
    <t>SUMIF,SUMIFS,COUNTIF,COUNTIFS</t>
  </si>
  <si>
    <t>VLOOKUP</t>
  </si>
  <si>
    <t>HLOOKUP</t>
  </si>
  <si>
    <t>PIVOT CHART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</si>
</sst>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Calibri"/>
      <family val="2"/>
      <scheme val="minor"/>
    </font>
    <font>
      <sz val="16"/>
      <color theme="1"/>
      <name val="Arial Black"/>
      <family val="2"/>
    </font>
    <font>
      <b/>
      <sz val="14"/>
      <color theme="1"/>
      <name val="Calibri"/>
      <family val="2"/>
      <scheme val="minor"/>
    </font>
    <font>
      <sz val="11"/>
      <color theme="1"/>
      <name val="Arial Black"/>
      <family val="2"/>
    </font>
    <font>
      <sz val="8"/>
      <name val="Calibri"/>
      <family val="2"/>
      <scheme val="minor"/>
    </font>
    <font>
      <b/>
      <sz val="20"/>
      <color theme="1"/>
      <name val="Calibri"/>
      <family val="2"/>
      <scheme val="minor"/>
    </font>
  </fonts>
  <fills count="3">
    <fill>
      <patternFill patternType="none"/>
    </fill>
    <fill>
      <patternFill patternType="gray125"/>
    </fill>
    <fill>
      <patternFill patternType="solid">
        <fgColor rgb="FF92D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0" fillId="0" borderId="1" xfId="0" applyBorder="1" applyAlignment="1">
      <alignment horizontal="center" vertical="center" wrapText="1"/>
    </xf>
    <xf numFmtId="20" fontId="0" fillId="0" borderId="1" xfId="0" applyNumberFormat="1"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20" fontId="0" fillId="0" borderId="8" xfId="0" applyNumberFormat="1" applyBorder="1" applyAlignment="1">
      <alignment horizontal="center" vertical="center" wrapText="1"/>
    </xf>
    <xf numFmtId="0" fontId="0" fillId="0" borderId="9" xfId="0"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0" fillId="2" borderId="0" xfId="0" applyFill="1"/>
    <xf numFmtId="0" fontId="4" fillId="2" borderId="0" xfId="0" applyFont="1" applyFill="1"/>
    <xf numFmtId="0" fontId="0" fillId="0" borderId="0" xfId="0" pivotButton="1"/>
    <xf numFmtId="0" fontId="0" fillId="0" borderId="0" xfId="0" applyAlignment="1">
      <alignment horizontal="left"/>
    </xf>
    <xf numFmtId="0" fontId="0" fillId="0" borderId="0" xfId="0" applyAlignment="1">
      <alignment horizontal="center"/>
    </xf>
    <xf numFmtId="0" fontId="6" fillId="0" borderId="0" xfId="0" applyFont="1" applyAlignment="1">
      <alignment horizontal="center"/>
    </xf>
    <xf numFmtId="2" fontId="0" fillId="0" borderId="0" xfId="0" applyNumberFormat="1"/>
    <xf numFmtId="0" fontId="0" fillId="0" borderId="0" xfId="0" applyAlignment="1">
      <alignment horizontal="center" vertical="center" wrapText="1"/>
    </xf>
    <xf numFmtId="0" fontId="0" fillId="2" borderId="0" xfId="0" applyFill="1" applyAlignment="1">
      <alignment horizontal="center" vertical="center" wrapText="1"/>
    </xf>
    <xf numFmtId="0" fontId="3" fillId="0" borderId="0" xfId="0" applyFont="1" applyAlignment="1">
      <alignment horizontal="center"/>
    </xf>
    <xf numFmtId="0" fontId="2" fillId="0" borderId="0" xfId="0" applyFont="1" applyAlignment="1">
      <alignment horizontal="center"/>
    </xf>
  </cellXfs>
  <cellStyles count="1">
    <cellStyle name="Normal" xfId="0" builtinId="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indexed="64"/>
          <bgColor rgb="FF92D050"/>
        </patternFill>
      </fill>
    </dxf>
    <dxf>
      <numFmt numFmtId="0" formatCode="General"/>
    </dxf>
    <dxf>
      <font>
        <b val="0"/>
        <i val="0"/>
        <strike val="0"/>
        <condense val="0"/>
        <extend val="0"/>
        <outline val="0"/>
        <shadow val="0"/>
        <u val="none"/>
        <vertAlign val="baseline"/>
        <sz val="11"/>
        <color theme="1"/>
        <name val="Arial Black"/>
        <family val="2"/>
        <scheme val="none"/>
      </font>
      <fill>
        <patternFill patternType="solid">
          <fgColor indexed="64"/>
          <bgColor rgb="FF92D050"/>
        </patternFill>
      </fill>
    </dxf>
    <dxf>
      <numFmt numFmtId="0" formatCode="General"/>
    </dxf>
    <dxf>
      <numFmt numFmtId="2" formatCode="0.00"/>
    </dxf>
    <dxf>
      <font>
        <b val="0"/>
        <i val="0"/>
        <strike val="0"/>
        <condense val="0"/>
        <extend val="0"/>
        <outline val="0"/>
        <shadow val="0"/>
        <u val="none"/>
        <vertAlign val="baseline"/>
        <sz val="11"/>
        <color theme="1"/>
        <name val="Arial Black"/>
        <family val="2"/>
        <scheme val="none"/>
      </font>
      <fill>
        <patternFill patternType="solid">
          <fgColor indexed="64"/>
          <bgColor rgb="FF92D050"/>
        </patternFill>
      </fill>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5" formatCode="hh:m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5" formatCode="hh:m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4"/>
        <color theme="1"/>
        <name val="Calibri"/>
        <family val="2"/>
        <scheme val="minor"/>
      </font>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flight dataset.xlsx]Sheet2!PivotTable2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a:t> </a:t>
            </a:r>
            <a:r>
              <a:rPr lang="en-IN" sz="1400" b="1" i="0" u="none" strike="noStrike" baseline="0"/>
              <a:t>Delay Minutes per Airline</a:t>
            </a:r>
            <a:r>
              <a:rPr lang="en-IN" sz="1400" b="0" i="0" u="none" strike="noStrike"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Sheet2!$E$3</c:f>
              <c:strCache>
                <c:ptCount val="1"/>
                <c:pt idx="0">
                  <c:v>Total</c:v>
                </c:pt>
              </c:strCache>
            </c:strRef>
          </c:tx>
          <c:spPr>
            <a:solidFill>
              <a:schemeClr val="accent2"/>
            </a:solidFill>
            <a:ln>
              <a:noFill/>
            </a:ln>
            <a:effectLst/>
          </c:spPr>
          <c:invertIfNegative val="0"/>
          <c:cat>
            <c:strRef>
              <c:f>Sheet2!$D$4:$D$9</c:f>
              <c:strCache>
                <c:ptCount val="5"/>
                <c:pt idx="0">
                  <c:v>United</c:v>
                </c:pt>
                <c:pt idx="1">
                  <c:v>Southwest</c:v>
                </c:pt>
                <c:pt idx="2">
                  <c:v>JetBlue</c:v>
                </c:pt>
                <c:pt idx="3">
                  <c:v>American</c:v>
                </c:pt>
                <c:pt idx="4">
                  <c:v>Delta</c:v>
                </c:pt>
              </c:strCache>
            </c:strRef>
          </c:cat>
          <c:val>
            <c:numRef>
              <c:f>Sheet2!$E$4:$E$9</c:f>
              <c:numCache>
                <c:formatCode>General</c:formatCode>
                <c:ptCount val="5"/>
                <c:pt idx="0">
                  <c:v>9</c:v>
                </c:pt>
                <c:pt idx="1">
                  <c:v>9</c:v>
                </c:pt>
                <c:pt idx="2">
                  <c:v>9</c:v>
                </c:pt>
                <c:pt idx="3">
                  <c:v>10</c:v>
                </c:pt>
                <c:pt idx="4">
                  <c:v>10</c:v>
                </c:pt>
              </c:numCache>
            </c:numRef>
          </c:val>
          <c:extLst>
            <c:ext xmlns:c16="http://schemas.microsoft.com/office/drawing/2014/chart" uri="{C3380CC4-5D6E-409C-BE32-E72D297353CC}">
              <c16:uniqueId val="{00000000-37EA-4B70-B61A-3DA4AE489922}"/>
            </c:ext>
          </c:extLst>
        </c:ser>
        <c:dLbls>
          <c:showLegendKey val="0"/>
          <c:showVal val="0"/>
          <c:showCatName val="0"/>
          <c:showSerName val="0"/>
          <c:showPercent val="0"/>
          <c:showBubbleSize val="0"/>
        </c:dLbls>
        <c:gapWidth val="150"/>
        <c:overlap val="100"/>
        <c:axId val="1155519887"/>
        <c:axId val="1155498287"/>
      </c:barChart>
      <c:catAx>
        <c:axId val="1155519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498287"/>
        <c:crosses val="autoZero"/>
        <c:auto val="1"/>
        <c:lblAlgn val="ctr"/>
        <c:lblOffset val="100"/>
        <c:noMultiLvlLbl val="0"/>
      </c:catAx>
      <c:valAx>
        <c:axId val="1155498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19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flight dataset.xlsx]Sheet2!PivotTable3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Flight Status Breakdown by Airline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Sheet2!$H$3:$H$4</c:f>
              <c:strCache>
                <c:ptCount val="1"/>
                <c:pt idx="0">
                  <c:v>Cancelled</c:v>
                </c:pt>
              </c:strCache>
            </c:strRef>
          </c:tx>
          <c:spPr>
            <a:solidFill>
              <a:schemeClr val="accent2"/>
            </a:solidFill>
            <a:ln>
              <a:noFill/>
            </a:ln>
            <a:effectLst/>
          </c:spPr>
          <c:invertIfNegative val="0"/>
          <c:cat>
            <c:strRef>
              <c:f>Sheet2!$G$5:$G$10</c:f>
              <c:strCache>
                <c:ptCount val="5"/>
                <c:pt idx="0">
                  <c:v>United</c:v>
                </c:pt>
                <c:pt idx="1">
                  <c:v>Southwest</c:v>
                </c:pt>
                <c:pt idx="2">
                  <c:v>JetBlue</c:v>
                </c:pt>
                <c:pt idx="3">
                  <c:v>American</c:v>
                </c:pt>
                <c:pt idx="4">
                  <c:v>Delta</c:v>
                </c:pt>
              </c:strCache>
            </c:strRef>
          </c:cat>
          <c:val>
            <c:numRef>
              <c:f>Sheet2!$H$5:$H$10</c:f>
              <c:numCache>
                <c:formatCode>General</c:formatCode>
                <c:ptCount val="5"/>
                <c:pt idx="2">
                  <c:v>2</c:v>
                </c:pt>
                <c:pt idx="3">
                  <c:v>1</c:v>
                </c:pt>
              </c:numCache>
            </c:numRef>
          </c:val>
          <c:extLst>
            <c:ext xmlns:c16="http://schemas.microsoft.com/office/drawing/2014/chart" uri="{C3380CC4-5D6E-409C-BE32-E72D297353CC}">
              <c16:uniqueId val="{00000000-7C50-4DAE-9FE7-D930239BFB5C}"/>
            </c:ext>
          </c:extLst>
        </c:ser>
        <c:ser>
          <c:idx val="1"/>
          <c:order val="1"/>
          <c:tx>
            <c:strRef>
              <c:f>Sheet2!$I$3:$I$4</c:f>
              <c:strCache>
                <c:ptCount val="1"/>
                <c:pt idx="0">
                  <c:v>Delayed</c:v>
                </c:pt>
              </c:strCache>
            </c:strRef>
          </c:tx>
          <c:spPr>
            <a:solidFill>
              <a:schemeClr val="accent4"/>
            </a:solidFill>
            <a:ln>
              <a:noFill/>
            </a:ln>
            <a:effectLst/>
          </c:spPr>
          <c:invertIfNegative val="0"/>
          <c:cat>
            <c:strRef>
              <c:f>Sheet2!$G$5:$G$10</c:f>
              <c:strCache>
                <c:ptCount val="5"/>
                <c:pt idx="0">
                  <c:v>United</c:v>
                </c:pt>
                <c:pt idx="1">
                  <c:v>Southwest</c:v>
                </c:pt>
                <c:pt idx="2">
                  <c:v>JetBlue</c:v>
                </c:pt>
                <c:pt idx="3">
                  <c:v>American</c:v>
                </c:pt>
                <c:pt idx="4">
                  <c:v>Delta</c:v>
                </c:pt>
              </c:strCache>
            </c:strRef>
          </c:cat>
          <c:val>
            <c:numRef>
              <c:f>Sheet2!$I$5:$I$10</c:f>
              <c:numCache>
                <c:formatCode>General</c:formatCode>
                <c:ptCount val="5"/>
                <c:pt idx="0">
                  <c:v>3</c:v>
                </c:pt>
                <c:pt idx="1">
                  <c:v>1</c:v>
                </c:pt>
                <c:pt idx="2">
                  <c:v>3</c:v>
                </c:pt>
                <c:pt idx="3">
                  <c:v>2</c:v>
                </c:pt>
                <c:pt idx="4">
                  <c:v>3</c:v>
                </c:pt>
              </c:numCache>
            </c:numRef>
          </c:val>
          <c:extLst>
            <c:ext xmlns:c16="http://schemas.microsoft.com/office/drawing/2014/chart" uri="{C3380CC4-5D6E-409C-BE32-E72D297353CC}">
              <c16:uniqueId val="{00000001-7C50-4DAE-9FE7-D930239BFB5C}"/>
            </c:ext>
          </c:extLst>
        </c:ser>
        <c:ser>
          <c:idx val="2"/>
          <c:order val="2"/>
          <c:tx>
            <c:strRef>
              <c:f>Sheet2!$J$3:$J$4</c:f>
              <c:strCache>
                <c:ptCount val="1"/>
                <c:pt idx="0">
                  <c:v>On Time</c:v>
                </c:pt>
              </c:strCache>
            </c:strRef>
          </c:tx>
          <c:spPr>
            <a:solidFill>
              <a:schemeClr val="accent6"/>
            </a:solidFill>
            <a:ln>
              <a:noFill/>
            </a:ln>
            <a:effectLst/>
          </c:spPr>
          <c:invertIfNegative val="0"/>
          <c:cat>
            <c:strRef>
              <c:f>Sheet2!$G$5:$G$10</c:f>
              <c:strCache>
                <c:ptCount val="5"/>
                <c:pt idx="0">
                  <c:v>United</c:v>
                </c:pt>
                <c:pt idx="1">
                  <c:v>Southwest</c:v>
                </c:pt>
                <c:pt idx="2">
                  <c:v>JetBlue</c:v>
                </c:pt>
                <c:pt idx="3">
                  <c:v>American</c:v>
                </c:pt>
                <c:pt idx="4">
                  <c:v>Delta</c:v>
                </c:pt>
              </c:strCache>
            </c:strRef>
          </c:cat>
          <c:val>
            <c:numRef>
              <c:f>Sheet2!$J$5:$J$10</c:f>
              <c:numCache>
                <c:formatCode>General</c:formatCode>
                <c:ptCount val="5"/>
                <c:pt idx="0">
                  <c:v>6</c:v>
                </c:pt>
                <c:pt idx="1">
                  <c:v>8</c:v>
                </c:pt>
                <c:pt idx="2">
                  <c:v>4</c:v>
                </c:pt>
                <c:pt idx="3">
                  <c:v>7</c:v>
                </c:pt>
                <c:pt idx="4">
                  <c:v>7</c:v>
                </c:pt>
              </c:numCache>
            </c:numRef>
          </c:val>
          <c:extLst>
            <c:ext xmlns:c16="http://schemas.microsoft.com/office/drawing/2014/chart" uri="{C3380CC4-5D6E-409C-BE32-E72D297353CC}">
              <c16:uniqueId val="{00000002-7C50-4DAE-9FE7-D930239BFB5C}"/>
            </c:ext>
          </c:extLst>
        </c:ser>
        <c:dLbls>
          <c:showLegendKey val="0"/>
          <c:showVal val="0"/>
          <c:showCatName val="0"/>
          <c:showSerName val="0"/>
          <c:showPercent val="0"/>
          <c:showBubbleSize val="0"/>
        </c:dLbls>
        <c:gapWidth val="219"/>
        <c:overlap val="-27"/>
        <c:axId val="1155525647"/>
        <c:axId val="1155522287"/>
      </c:barChart>
      <c:catAx>
        <c:axId val="115552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22287"/>
        <c:crosses val="autoZero"/>
        <c:auto val="1"/>
        <c:lblAlgn val="ctr"/>
        <c:lblOffset val="100"/>
        <c:noMultiLvlLbl val="0"/>
      </c:catAx>
      <c:valAx>
        <c:axId val="1155522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2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flight dataset.xlsx]Sheet2!PivotTable4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Flights by Origin → Destination</a:t>
            </a:r>
            <a:r>
              <a:rPr lang="en-IN" sz="1400" b="0" i="0" u="none" strike="noStrike"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Sheet2!$B$14:$B$15</c:f>
              <c:strCache>
                <c:ptCount val="1"/>
                <c:pt idx="0">
                  <c:v>DEN</c:v>
                </c:pt>
              </c:strCache>
            </c:strRef>
          </c:tx>
          <c:spPr>
            <a:solidFill>
              <a:schemeClr val="accent1"/>
            </a:solidFill>
            <a:ln>
              <a:noFill/>
            </a:ln>
            <a:effectLst/>
          </c:spPr>
          <c:invertIfNegative val="0"/>
          <c:cat>
            <c:strRef>
              <c:f>Sheet2!$A$16:$A$20</c:f>
              <c:strCache>
                <c:ptCount val="4"/>
                <c:pt idx="0">
                  <c:v>DEN</c:v>
                </c:pt>
                <c:pt idx="1">
                  <c:v>IAD</c:v>
                </c:pt>
                <c:pt idx="2">
                  <c:v>ORD</c:v>
                </c:pt>
                <c:pt idx="3">
                  <c:v>SFO</c:v>
                </c:pt>
              </c:strCache>
            </c:strRef>
          </c:cat>
          <c:val>
            <c:numRef>
              <c:f>Sheet2!$B$16:$B$20</c:f>
              <c:numCache>
                <c:formatCode>General</c:formatCode>
                <c:ptCount val="4"/>
                <c:pt idx="2">
                  <c:v>1</c:v>
                </c:pt>
              </c:numCache>
            </c:numRef>
          </c:val>
          <c:extLst>
            <c:ext xmlns:c16="http://schemas.microsoft.com/office/drawing/2014/chart" uri="{C3380CC4-5D6E-409C-BE32-E72D297353CC}">
              <c16:uniqueId val="{00000000-75DB-4F27-A001-9E01B62873F3}"/>
            </c:ext>
          </c:extLst>
        </c:ser>
        <c:ser>
          <c:idx val="1"/>
          <c:order val="1"/>
          <c:tx>
            <c:strRef>
              <c:f>Sheet2!$C$14:$C$15</c:f>
              <c:strCache>
                <c:ptCount val="1"/>
                <c:pt idx="0">
                  <c:v>IAH</c:v>
                </c:pt>
              </c:strCache>
            </c:strRef>
          </c:tx>
          <c:spPr>
            <a:solidFill>
              <a:schemeClr val="accent2"/>
            </a:solidFill>
            <a:ln>
              <a:noFill/>
            </a:ln>
            <a:effectLst/>
          </c:spPr>
          <c:invertIfNegative val="0"/>
          <c:cat>
            <c:strRef>
              <c:f>Sheet2!$A$16:$A$20</c:f>
              <c:strCache>
                <c:ptCount val="4"/>
                <c:pt idx="0">
                  <c:v>DEN</c:v>
                </c:pt>
                <c:pt idx="1">
                  <c:v>IAD</c:v>
                </c:pt>
                <c:pt idx="2">
                  <c:v>ORD</c:v>
                </c:pt>
                <c:pt idx="3">
                  <c:v>SFO</c:v>
                </c:pt>
              </c:strCache>
            </c:strRef>
          </c:cat>
          <c:val>
            <c:numRef>
              <c:f>Sheet2!$C$16:$C$20</c:f>
              <c:numCache>
                <c:formatCode>General</c:formatCode>
                <c:ptCount val="4"/>
                <c:pt idx="2">
                  <c:v>1</c:v>
                </c:pt>
              </c:numCache>
            </c:numRef>
          </c:val>
          <c:extLst>
            <c:ext xmlns:c16="http://schemas.microsoft.com/office/drawing/2014/chart" uri="{C3380CC4-5D6E-409C-BE32-E72D297353CC}">
              <c16:uniqueId val="{00000001-75DB-4F27-A001-9E01B62873F3}"/>
            </c:ext>
          </c:extLst>
        </c:ser>
        <c:ser>
          <c:idx val="2"/>
          <c:order val="2"/>
          <c:tx>
            <c:strRef>
              <c:f>Sheet2!$D$14:$D$15</c:f>
              <c:strCache>
                <c:ptCount val="1"/>
                <c:pt idx="0">
                  <c:v>JFK</c:v>
                </c:pt>
              </c:strCache>
            </c:strRef>
          </c:tx>
          <c:spPr>
            <a:solidFill>
              <a:schemeClr val="accent3"/>
            </a:solidFill>
            <a:ln>
              <a:noFill/>
            </a:ln>
            <a:effectLst/>
          </c:spPr>
          <c:invertIfNegative val="0"/>
          <c:cat>
            <c:strRef>
              <c:f>Sheet2!$A$16:$A$20</c:f>
              <c:strCache>
                <c:ptCount val="4"/>
                <c:pt idx="0">
                  <c:v>DEN</c:v>
                </c:pt>
                <c:pt idx="1">
                  <c:v>IAD</c:v>
                </c:pt>
                <c:pt idx="2">
                  <c:v>ORD</c:v>
                </c:pt>
                <c:pt idx="3">
                  <c:v>SFO</c:v>
                </c:pt>
              </c:strCache>
            </c:strRef>
          </c:cat>
          <c:val>
            <c:numRef>
              <c:f>Sheet2!$D$16:$D$20</c:f>
              <c:numCache>
                <c:formatCode>General</c:formatCode>
                <c:ptCount val="4"/>
                <c:pt idx="3">
                  <c:v>1</c:v>
                </c:pt>
              </c:numCache>
            </c:numRef>
          </c:val>
          <c:extLst>
            <c:ext xmlns:c16="http://schemas.microsoft.com/office/drawing/2014/chart" uri="{C3380CC4-5D6E-409C-BE32-E72D297353CC}">
              <c16:uniqueId val="{00000002-75DB-4F27-A001-9E01B62873F3}"/>
            </c:ext>
          </c:extLst>
        </c:ser>
        <c:ser>
          <c:idx val="3"/>
          <c:order val="3"/>
          <c:tx>
            <c:strRef>
              <c:f>Sheet2!$E$14:$E$15</c:f>
              <c:strCache>
                <c:ptCount val="1"/>
                <c:pt idx="0">
                  <c:v>LAX</c:v>
                </c:pt>
              </c:strCache>
            </c:strRef>
          </c:tx>
          <c:spPr>
            <a:solidFill>
              <a:schemeClr val="accent4"/>
            </a:solidFill>
            <a:ln>
              <a:noFill/>
            </a:ln>
            <a:effectLst/>
          </c:spPr>
          <c:invertIfNegative val="0"/>
          <c:cat>
            <c:strRef>
              <c:f>Sheet2!$A$16:$A$20</c:f>
              <c:strCache>
                <c:ptCount val="4"/>
                <c:pt idx="0">
                  <c:v>DEN</c:v>
                </c:pt>
                <c:pt idx="1">
                  <c:v>IAD</c:v>
                </c:pt>
                <c:pt idx="2">
                  <c:v>ORD</c:v>
                </c:pt>
                <c:pt idx="3">
                  <c:v>SFO</c:v>
                </c:pt>
              </c:strCache>
            </c:strRef>
          </c:cat>
          <c:val>
            <c:numRef>
              <c:f>Sheet2!$E$16:$E$20</c:f>
              <c:numCache>
                <c:formatCode>General</c:formatCode>
                <c:ptCount val="4"/>
                <c:pt idx="1">
                  <c:v>1</c:v>
                </c:pt>
                <c:pt idx="3">
                  <c:v>1</c:v>
                </c:pt>
              </c:numCache>
            </c:numRef>
          </c:val>
          <c:extLst>
            <c:ext xmlns:c16="http://schemas.microsoft.com/office/drawing/2014/chart" uri="{C3380CC4-5D6E-409C-BE32-E72D297353CC}">
              <c16:uniqueId val="{00000003-75DB-4F27-A001-9E01B62873F3}"/>
            </c:ext>
          </c:extLst>
        </c:ser>
        <c:ser>
          <c:idx val="4"/>
          <c:order val="4"/>
          <c:tx>
            <c:strRef>
              <c:f>Sheet2!$F$14:$F$15</c:f>
              <c:strCache>
                <c:ptCount val="1"/>
                <c:pt idx="0">
                  <c:v>ORD</c:v>
                </c:pt>
              </c:strCache>
            </c:strRef>
          </c:tx>
          <c:spPr>
            <a:solidFill>
              <a:schemeClr val="accent5"/>
            </a:solidFill>
            <a:ln>
              <a:noFill/>
            </a:ln>
            <a:effectLst/>
          </c:spPr>
          <c:invertIfNegative val="0"/>
          <c:cat>
            <c:strRef>
              <c:f>Sheet2!$A$16:$A$20</c:f>
              <c:strCache>
                <c:ptCount val="4"/>
                <c:pt idx="0">
                  <c:v>DEN</c:v>
                </c:pt>
                <c:pt idx="1">
                  <c:v>IAD</c:v>
                </c:pt>
                <c:pt idx="2">
                  <c:v>ORD</c:v>
                </c:pt>
                <c:pt idx="3">
                  <c:v>SFO</c:v>
                </c:pt>
              </c:strCache>
            </c:strRef>
          </c:cat>
          <c:val>
            <c:numRef>
              <c:f>Sheet2!$F$16:$F$20</c:f>
              <c:numCache>
                <c:formatCode>General</c:formatCode>
                <c:ptCount val="4"/>
                <c:pt idx="0">
                  <c:v>1</c:v>
                </c:pt>
                <c:pt idx="1">
                  <c:v>1</c:v>
                </c:pt>
              </c:numCache>
            </c:numRef>
          </c:val>
          <c:extLst>
            <c:ext xmlns:c16="http://schemas.microsoft.com/office/drawing/2014/chart" uri="{C3380CC4-5D6E-409C-BE32-E72D297353CC}">
              <c16:uniqueId val="{00000004-75DB-4F27-A001-9E01B62873F3}"/>
            </c:ext>
          </c:extLst>
        </c:ser>
        <c:ser>
          <c:idx val="5"/>
          <c:order val="5"/>
          <c:tx>
            <c:strRef>
              <c:f>Sheet2!$G$14:$G$15</c:f>
              <c:strCache>
                <c:ptCount val="1"/>
                <c:pt idx="0">
                  <c:v>SEA</c:v>
                </c:pt>
              </c:strCache>
            </c:strRef>
          </c:tx>
          <c:spPr>
            <a:solidFill>
              <a:schemeClr val="accent6"/>
            </a:solidFill>
            <a:ln>
              <a:noFill/>
            </a:ln>
            <a:effectLst/>
          </c:spPr>
          <c:invertIfNegative val="0"/>
          <c:cat>
            <c:strRef>
              <c:f>Sheet2!$A$16:$A$20</c:f>
              <c:strCache>
                <c:ptCount val="4"/>
                <c:pt idx="0">
                  <c:v>DEN</c:v>
                </c:pt>
                <c:pt idx="1">
                  <c:v>IAD</c:v>
                </c:pt>
                <c:pt idx="2">
                  <c:v>ORD</c:v>
                </c:pt>
                <c:pt idx="3">
                  <c:v>SFO</c:v>
                </c:pt>
              </c:strCache>
            </c:strRef>
          </c:cat>
          <c:val>
            <c:numRef>
              <c:f>Sheet2!$G$16:$G$20</c:f>
              <c:numCache>
                <c:formatCode>General</c:formatCode>
                <c:ptCount val="4"/>
                <c:pt idx="3">
                  <c:v>1</c:v>
                </c:pt>
              </c:numCache>
            </c:numRef>
          </c:val>
          <c:extLst>
            <c:ext xmlns:c16="http://schemas.microsoft.com/office/drawing/2014/chart" uri="{C3380CC4-5D6E-409C-BE32-E72D297353CC}">
              <c16:uniqueId val="{00000005-75DB-4F27-A001-9E01B62873F3}"/>
            </c:ext>
          </c:extLst>
        </c:ser>
        <c:ser>
          <c:idx val="6"/>
          <c:order val="6"/>
          <c:tx>
            <c:strRef>
              <c:f>Sheet2!$H$14:$H$15</c:f>
              <c:strCache>
                <c:ptCount val="1"/>
                <c:pt idx="0">
                  <c:v>SFO</c:v>
                </c:pt>
              </c:strCache>
            </c:strRef>
          </c:tx>
          <c:spPr>
            <a:solidFill>
              <a:schemeClr val="accent1">
                <a:lumMod val="60000"/>
              </a:schemeClr>
            </a:solidFill>
            <a:ln>
              <a:noFill/>
            </a:ln>
            <a:effectLst/>
          </c:spPr>
          <c:invertIfNegative val="0"/>
          <c:cat>
            <c:strRef>
              <c:f>Sheet2!$A$16:$A$20</c:f>
              <c:strCache>
                <c:ptCount val="4"/>
                <c:pt idx="0">
                  <c:v>DEN</c:v>
                </c:pt>
                <c:pt idx="1">
                  <c:v>IAD</c:v>
                </c:pt>
                <c:pt idx="2">
                  <c:v>ORD</c:v>
                </c:pt>
                <c:pt idx="3">
                  <c:v>SFO</c:v>
                </c:pt>
              </c:strCache>
            </c:strRef>
          </c:cat>
          <c:val>
            <c:numRef>
              <c:f>Sheet2!$H$16:$H$20</c:f>
              <c:numCache>
                <c:formatCode>General</c:formatCode>
                <c:ptCount val="4"/>
                <c:pt idx="0">
                  <c:v>1</c:v>
                </c:pt>
              </c:numCache>
            </c:numRef>
          </c:val>
          <c:extLst>
            <c:ext xmlns:c16="http://schemas.microsoft.com/office/drawing/2014/chart" uri="{C3380CC4-5D6E-409C-BE32-E72D297353CC}">
              <c16:uniqueId val="{00000006-75DB-4F27-A001-9E01B62873F3}"/>
            </c:ext>
          </c:extLst>
        </c:ser>
        <c:dLbls>
          <c:showLegendKey val="0"/>
          <c:showVal val="0"/>
          <c:showCatName val="0"/>
          <c:showSerName val="0"/>
          <c:showPercent val="0"/>
          <c:showBubbleSize val="0"/>
        </c:dLbls>
        <c:gapWidth val="219"/>
        <c:overlap val="-27"/>
        <c:axId val="1426453327"/>
        <c:axId val="1426446607"/>
      </c:barChart>
      <c:catAx>
        <c:axId val="142645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446607"/>
        <c:crosses val="autoZero"/>
        <c:auto val="1"/>
        <c:lblAlgn val="ctr"/>
        <c:lblOffset val="100"/>
        <c:noMultiLvlLbl val="0"/>
      </c:catAx>
      <c:valAx>
        <c:axId val="1426446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45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flight dataset.xlsx]Sheet2!PivotTable1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Flights</a:t>
            </a:r>
            <a:r>
              <a:rPr lang="en-IN" baseline="0"/>
              <a:t> per Arline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Sheet2!$A$4:$A$9</c:f>
              <c:strCache>
                <c:ptCount val="5"/>
                <c:pt idx="0">
                  <c:v>United</c:v>
                </c:pt>
                <c:pt idx="1">
                  <c:v>Southwest</c:v>
                </c:pt>
                <c:pt idx="2">
                  <c:v>JetBlue</c:v>
                </c:pt>
                <c:pt idx="3">
                  <c:v>American</c:v>
                </c:pt>
                <c:pt idx="4">
                  <c:v>Delta</c:v>
                </c:pt>
              </c:strCache>
            </c:strRef>
          </c:cat>
          <c:val>
            <c:numRef>
              <c:f>Sheet2!$B$4:$B$9</c:f>
              <c:numCache>
                <c:formatCode>General</c:formatCode>
                <c:ptCount val="5"/>
                <c:pt idx="0">
                  <c:v>9</c:v>
                </c:pt>
                <c:pt idx="1">
                  <c:v>9</c:v>
                </c:pt>
                <c:pt idx="2">
                  <c:v>9</c:v>
                </c:pt>
                <c:pt idx="3">
                  <c:v>10</c:v>
                </c:pt>
                <c:pt idx="4">
                  <c:v>10</c:v>
                </c:pt>
              </c:numCache>
            </c:numRef>
          </c:val>
          <c:smooth val="0"/>
          <c:extLst>
            <c:ext xmlns:c16="http://schemas.microsoft.com/office/drawing/2014/chart" uri="{C3380CC4-5D6E-409C-BE32-E72D297353CC}">
              <c16:uniqueId val="{00000000-E878-440B-88CE-E1A6240E88EB}"/>
            </c:ext>
          </c:extLst>
        </c:ser>
        <c:dLbls>
          <c:showLegendKey val="0"/>
          <c:showVal val="0"/>
          <c:showCatName val="0"/>
          <c:showSerName val="0"/>
          <c:showPercent val="0"/>
          <c:showBubbleSize val="0"/>
        </c:dLbls>
        <c:smooth val="0"/>
        <c:axId val="1155527087"/>
        <c:axId val="1155528527"/>
      </c:lineChart>
      <c:catAx>
        <c:axId val="1155527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28527"/>
        <c:crosses val="autoZero"/>
        <c:auto val="1"/>
        <c:lblAlgn val="ctr"/>
        <c:lblOffset val="100"/>
        <c:noMultiLvlLbl val="0"/>
      </c:catAx>
      <c:valAx>
        <c:axId val="115552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52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20</xdr:col>
      <xdr:colOff>160020</xdr:colOff>
      <xdr:row>1</xdr:row>
      <xdr:rowOff>38100</xdr:rowOff>
    </xdr:from>
    <xdr:to>
      <xdr:col>24</xdr:col>
      <xdr:colOff>419100</xdr:colOff>
      <xdr:row>14</xdr:row>
      <xdr:rowOff>127635</xdr:rowOff>
    </xdr:to>
    <mc:AlternateContent xmlns:mc="http://schemas.openxmlformats.org/markup-compatibility/2006" xmlns:a14="http://schemas.microsoft.com/office/drawing/2010/main">
      <mc:Choice Requires="a14">
        <xdr:graphicFrame macro="">
          <xdr:nvGraphicFramePr>
            <xdr:cNvPr id="2" name="Flight No">
              <a:extLst>
                <a:ext uri="{FF2B5EF4-FFF2-40B4-BE49-F238E27FC236}">
                  <a16:creationId xmlns:a16="http://schemas.microsoft.com/office/drawing/2014/main" id="{92CBDDCA-A093-6ED6-119B-2CEA31CDA3C0}"/>
                </a:ext>
              </a:extLst>
            </xdr:cNvPr>
            <xdr:cNvGraphicFramePr/>
          </xdr:nvGraphicFramePr>
          <xdr:xfrm>
            <a:off x="0" y="0"/>
            <a:ext cx="0" cy="0"/>
          </xdr:xfrm>
          <a:graphic>
            <a:graphicData uri="http://schemas.microsoft.com/office/drawing/2010/slicer">
              <sle:slicer xmlns:sle="http://schemas.microsoft.com/office/drawing/2010/slicer" name="Flight No"/>
            </a:graphicData>
          </a:graphic>
        </xdr:graphicFrame>
      </mc:Choice>
      <mc:Fallback xmlns="">
        <xdr:sp macro="" textlink="">
          <xdr:nvSpPr>
            <xdr:cNvPr id="0" name=""/>
            <xdr:cNvSpPr>
              <a:spLocks noTextEdit="1"/>
            </xdr:cNvSpPr>
          </xdr:nvSpPr>
          <xdr:spPr>
            <a:xfrm>
              <a:off x="10416540" y="266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114300</xdr:colOff>
      <xdr:row>1</xdr:row>
      <xdr:rowOff>45720</xdr:rowOff>
    </xdr:from>
    <xdr:to>
      <xdr:col>20</xdr:col>
      <xdr:colOff>60960</xdr:colOff>
      <xdr:row>14</xdr:row>
      <xdr:rowOff>127635</xdr:rowOff>
    </xdr:to>
    <mc:AlternateContent xmlns:mc="http://schemas.openxmlformats.org/markup-compatibility/2006" xmlns:a14="http://schemas.microsoft.com/office/drawing/2010/main">
      <mc:Choice Requires="a14">
        <xdr:graphicFrame macro="">
          <xdr:nvGraphicFramePr>
            <xdr:cNvPr id="3" name="Airline">
              <a:extLst>
                <a:ext uri="{FF2B5EF4-FFF2-40B4-BE49-F238E27FC236}">
                  <a16:creationId xmlns:a16="http://schemas.microsoft.com/office/drawing/2014/main" id="{2517FDCE-5BCA-AC44-AB82-3EEB12902181}"/>
                </a:ext>
              </a:extLst>
            </xdr:cNvPr>
            <xdr:cNvGraphicFramePr/>
          </xdr:nvGraphicFramePr>
          <xdr:xfrm>
            <a:off x="0" y="0"/>
            <a:ext cx="0" cy="0"/>
          </xdr:xfrm>
          <a:graphic>
            <a:graphicData uri="http://schemas.microsoft.com/office/drawing/2010/slicer">
              <sle:slicer xmlns:sle="http://schemas.microsoft.com/office/drawing/2010/slicer" name="Airline"/>
            </a:graphicData>
          </a:graphic>
        </xdr:graphicFrame>
      </mc:Choice>
      <mc:Fallback xmlns="">
        <xdr:sp macro="" textlink="">
          <xdr:nvSpPr>
            <xdr:cNvPr id="0" name=""/>
            <xdr:cNvSpPr>
              <a:spLocks noTextEdit="1"/>
            </xdr:cNvSpPr>
          </xdr:nvSpPr>
          <xdr:spPr>
            <a:xfrm>
              <a:off x="8488680" y="274320"/>
              <a:ext cx="1828800" cy="2459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160020</xdr:colOff>
      <xdr:row>2</xdr:row>
      <xdr:rowOff>22860</xdr:rowOff>
    </xdr:from>
    <xdr:to>
      <xdr:col>11</xdr:col>
      <xdr:colOff>480060</xdr:colOff>
      <xdr:row>21</xdr:row>
      <xdr:rowOff>152400</xdr:rowOff>
    </xdr:to>
    <xdr:graphicFrame macro="">
      <xdr:nvGraphicFramePr>
        <xdr:cNvPr id="3" name="Chart 2">
          <a:extLst>
            <a:ext uri="{FF2B5EF4-FFF2-40B4-BE49-F238E27FC236}">
              <a16:creationId xmlns:a16="http://schemas.microsoft.com/office/drawing/2014/main" id="{F78C5AED-6FF4-40D4-A9DA-D34D67FC7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365760</xdr:colOff>
      <xdr:row>2</xdr:row>
      <xdr:rowOff>83820</xdr:rowOff>
    </xdr:from>
    <xdr:to>
      <xdr:col>22</xdr:col>
      <xdr:colOff>121920</xdr:colOff>
      <xdr:row>21</xdr:row>
      <xdr:rowOff>83820</xdr:rowOff>
    </xdr:to>
    <xdr:graphicFrame macro="">
      <xdr:nvGraphicFramePr>
        <xdr:cNvPr id="4" name="Chart 3">
          <a:extLst>
            <a:ext uri="{FF2B5EF4-FFF2-40B4-BE49-F238E27FC236}">
              <a16:creationId xmlns:a16="http://schemas.microsoft.com/office/drawing/2014/main" id="{9D89D402-D20D-4EA9-B4D1-83DE3317F7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23</xdr:row>
      <xdr:rowOff>15240</xdr:rowOff>
    </xdr:from>
    <xdr:to>
      <xdr:col>10</xdr:col>
      <xdr:colOff>38100</xdr:colOff>
      <xdr:row>38</xdr:row>
      <xdr:rowOff>129540</xdr:rowOff>
    </xdr:to>
    <xdr:graphicFrame macro="">
      <xdr:nvGraphicFramePr>
        <xdr:cNvPr id="5" name="Chart 4">
          <a:extLst>
            <a:ext uri="{FF2B5EF4-FFF2-40B4-BE49-F238E27FC236}">
              <a16:creationId xmlns:a16="http://schemas.microsoft.com/office/drawing/2014/main" id="{5AC8965F-CCB1-483B-B78F-1546AA41C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38100</xdr:colOff>
      <xdr:row>23</xdr:row>
      <xdr:rowOff>15240</xdr:rowOff>
    </xdr:from>
    <xdr:to>
      <xdr:col>18</xdr:col>
      <xdr:colOff>419100</xdr:colOff>
      <xdr:row>38</xdr:row>
      <xdr:rowOff>144780</xdr:rowOff>
    </xdr:to>
    <xdr:graphicFrame macro="">
      <xdr:nvGraphicFramePr>
        <xdr:cNvPr id="6" name="Chart 5">
          <a:extLst>
            <a:ext uri="{FF2B5EF4-FFF2-40B4-BE49-F238E27FC236}">
              <a16:creationId xmlns:a16="http://schemas.microsoft.com/office/drawing/2014/main" id="{D0A3EF42-9E1A-45BD-898A-967E94AD0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JA" refreshedDate="45910.869787847223" createdVersion="8" refreshedVersion="8" minRefreshableVersion="3" recordCount="47" xr:uid="{6DDF94FA-AA91-4891-A0F8-409B6101CE04}">
  <cacheSource type="worksheet">
    <worksheetSource name="Table1"/>
  </cacheSource>
  <cacheFields count="9">
    <cacheField name="Flight No" numFmtId="0">
      <sharedItems count="47">
        <s v="AA101"/>
        <s v="DL202"/>
        <s v="UA303"/>
        <s v="SW404"/>
        <s v="JB505"/>
        <s v="AA606"/>
        <s v="DL707"/>
        <s v="UA808"/>
        <s v="SW909"/>
        <s v="JB010"/>
        <s v="AA111"/>
        <s v="DL212"/>
        <s v="UA313"/>
        <s v="SW414"/>
        <s v="JB515"/>
        <s v="AA616"/>
        <s v="DL717"/>
        <s v="UA818"/>
        <s v="SW919"/>
        <s v="JB020"/>
        <s v="AA121"/>
        <s v="DL222"/>
        <s v="UA323"/>
        <s v="SW424"/>
        <s v="JB525"/>
        <s v="AA626"/>
        <s v="DL727"/>
        <s v="UA828"/>
        <s v="SW929"/>
        <s v="JB030"/>
        <s v="AA131"/>
        <s v="DL232"/>
        <s v="UA333"/>
        <s v="SW434"/>
        <s v="JB535"/>
        <s v="AA636"/>
        <s v="DL737"/>
        <s v="UA838"/>
        <s v="SW939"/>
        <s v="JB040"/>
        <s v="AA141"/>
        <s v="DL242"/>
        <s v="UA343"/>
        <s v="SW444"/>
        <s v="JB545"/>
        <s v="AA646"/>
        <s v="DL747"/>
      </sharedItems>
    </cacheField>
    <cacheField name="Airline" numFmtId="0">
      <sharedItems count="5">
        <s v="American"/>
        <s v="Delta"/>
        <s v="United"/>
        <s v="Southwest"/>
        <s v="JetBlue"/>
      </sharedItems>
    </cacheField>
    <cacheField name="Origin" numFmtId="0">
      <sharedItems count="16">
        <s v="JFK"/>
        <s v="ATL"/>
        <s v="SFO"/>
        <s v="DAL"/>
        <s v="BOS"/>
        <s v="LAX"/>
        <s v="ORD"/>
        <s v="PHX"/>
        <s v="FLL"/>
        <s v="CLT"/>
        <s v="MIA"/>
        <s v="IAD"/>
        <s v="HOU"/>
        <s v="DEN"/>
        <s v="LAS"/>
        <s v="DFW"/>
      </sharedItems>
    </cacheField>
    <cacheField name="Destination" numFmtId="0">
      <sharedItems count="22">
        <s v="LAX"/>
        <s v="ORD"/>
        <s v="JFK"/>
        <s v="HOU"/>
        <s v="MCO"/>
        <s v="SEA"/>
        <s v="ATL"/>
        <s v="DEN"/>
        <s v="LAS"/>
        <s v="DFW"/>
        <s v="DAL"/>
        <s v="BOS"/>
        <s v="MIA"/>
        <s v="SLC"/>
        <s v="PHX"/>
        <s v="LGA"/>
        <s v="STL"/>
        <s v="FLL"/>
        <s v="IAH"/>
        <s v="SFO"/>
        <s v="DCA"/>
        <s v="AUS"/>
      </sharedItems>
    </cacheField>
    <cacheField name="Departure Time" numFmtId="20">
      <sharedItems containsSemiMixedTypes="0" containsNonDate="0" containsDate="1" containsString="0" minDate="1899-12-30T06:00:00" maxDate="1900-01-02T00:00:00"/>
    </cacheField>
    <cacheField name="Arrival  Time" numFmtId="20">
      <sharedItems containsSemiMixedTypes="0" containsNonDate="0" containsDate="1" containsString="0" minDate="1899-12-30T07:30:00" maxDate="1899-12-30T20:10:00"/>
    </cacheField>
    <cacheField name="Duration" numFmtId="0">
      <sharedItems/>
    </cacheField>
    <cacheField name="Status" numFmtId="0">
      <sharedItems count="3">
        <s v="On Time"/>
        <s v="Delayed"/>
        <s v="Cancelled"/>
      </sharedItems>
    </cacheField>
    <cacheField name="Delay (min)" numFmtId="0">
      <sharedItems containsMixedTypes="1" containsNumber="1" containsInteger="1" minValue="0" maxValue="50"/>
    </cacheField>
  </cacheFields>
  <extLst>
    <ext xmlns:x14="http://schemas.microsoft.com/office/spreadsheetml/2009/9/main" uri="{725AE2AE-9491-48be-B2B4-4EB974FC3084}">
      <x14:pivotCacheDefinition pivotCacheId="10195366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x v="0"/>
    <x v="0"/>
    <x v="0"/>
    <d v="1899-12-30T06:00:00"/>
    <d v="1899-12-30T09:00:00"/>
    <s v="6h"/>
    <x v="0"/>
    <n v="0"/>
  </r>
  <r>
    <x v="1"/>
    <x v="1"/>
    <x v="1"/>
    <x v="1"/>
    <d v="1899-12-30T07:00:00"/>
    <d v="1899-12-30T09:10:00"/>
    <s v="2h"/>
    <x v="1"/>
    <n v="25"/>
  </r>
  <r>
    <x v="2"/>
    <x v="2"/>
    <x v="2"/>
    <x v="2"/>
    <d v="1899-12-30T08:00:00"/>
    <d v="1899-12-30T16:30:00"/>
    <s v="5h"/>
    <x v="0"/>
    <n v="0"/>
  </r>
  <r>
    <x v="3"/>
    <x v="3"/>
    <x v="3"/>
    <x v="3"/>
    <d v="1899-12-30T09:00:00"/>
    <d v="1899-12-30T10:00:00"/>
    <s v="1h"/>
    <x v="0"/>
    <n v="0"/>
  </r>
  <r>
    <x v="4"/>
    <x v="4"/>
    <x v="4"/>
    <x v="4"/>
    <d v="1899-12-30T10:00:00"/>
    <d v="1899-12-30T14:15:00"/>
    <s v="3.5h"/>
    <x v="2"/>
    <s v="—"/>
  </r>
  <r>
    <x v="5"/>
    <x v="0"/>
    <x v="5"/>
    <x v="5"/>
    <d v="1899-12-30T11:00:00"/>
    <d v="1899-12-30T14:30:00"/>
    <s v="2.5h"/>
    <x v="0"/>
    <n v="0"/>
  </r>
  <r>
    <x v="6"/>
    <x v="1"/>
    <x v="0"/>
    <x v="6"/>
    <d v="1899-12-30T12:00:00"/>
    <d v="1899-12-30T15:45:00"/>
    <s v="2.5h"/>
    <x v="1"/>
    <n v="35"/>
  </r>
  <r>
    <x v="7"/>
    <x v="2"/>
    <x v="6"/>
    <x v="7"/>
    <d v="1899-12-30T13:00:00"/>
    <d v="1899-12-30T15:45:00"/>
    <s v="1.75h"/>
    <x v="0"/>
    <n v="0"/>
  </r>
  <r>
    <x v="8"/>
    <x v="3"/>
    <x v="7"/>
    <x v="8"/>
    <d v="1899-12-30T14:00:00"/>
    <d v="1899-12-30T16:00:00"/>
    <s v="1h"/>
    <x v="0"/>
    <n v="0"/>
  </r>
  <r>
    <x v="9"/>
    <x v="4"/>
    <x v="8"/>
    <x v="2"/>
    <d v="1899-12-30T15:00:00"/>
    <d v="1899-12-30T19:30:00"/>
    <s v="3h"/>
    <x v="1"/>
    <n v="10"/>
  </r>
  <r>
    <x v="10"/>
    <x v="0"/>
    <x v="9"/>
    <x v="9"/>
    <d v="1899-12-30T16:00:00"/>
    <d v="1899-12-30T20:00:00"/>
    <s v="2.25h"/>
    <x v="0"/>
    <n v="0"/>
  </r>
  <r>
    <x v="11"/>
    <x v="1"/>
    <x v="10"/>
    <x v="6"/>
    <d v="1899-12-30T17:00:00"/>
    <d v="1899-12-30T08:20:00"/>
    <s v="1.83h"/>
    <x v="0"/>
    <n v="0"/>
  </r>
  <r>
    <x v="12"/>
    <x v="2"/>
    <x v="11"/>
    <x v="0"/>
    <d v="1899-12-30T18:00:00"/>
    <d v="1899-12-30T10:50:00"/>
    <s v="5h"/>
    <x v="1"/>
    <n v="20"/>
  </r>
  <r>
    <x v="13"/>
    <x v="3"/>
    <x v="12"/>
    <x v="10"/>
    <d v="1899-12-30T19:00:00"/>
    <d v="1899-12-30T09:30:00"/>
    <s v="1.08h"/>
    <x v="0"/>
    <n v="0"/>
  </r>
  <r>
    <x v="14"/>
    <x v="4"/>
    <x v="0"/>
    <x v="11"/>
    <d v="1899-12-30T20:00:00"/>
    <d v="1899-12-30T10:25:00"/>
    <s v="1.25h"/>
    <x v="0"/>
    <n v="0"/>
  </r>
  <r>
    <x v="15"/>
    <x v="0"/>
    <x v="6"/>
    <x v="12"/>
    <d v="1899-12-30T21:00:00"/>
    <d v="1899-12-30T13:40:00"/>
    <s v="3.33h"/>
    <x v="2"/>
    <s v="—"/>
  </r>
  <r>
    <x v="16"/>
    <x v="1"/>
    <x v="5"/>
    <x v="13"/>
    <d v="1899-12-30T22:00:00"/>
    <d v="1899-12-30T13:15:00"/>
    <s v="1.5h"/>
    <x v="0"/>
    <n v="0"/>
  </r>
  <r>
    <x v="17"/>
    <x v="2"/>
    <x v="13"/>
    <x v="1"/>
    <d v="1899-12-30T23:00:00"/>
    <d v="1899-12-30T16:15:00"/>
    <s v="1.75h"/>
    <x v="1"/>
    <n v="15"/>
  </r>
  <r>
    <x v="18"/>
    <x v="3"/>
    <x v="14"/>
    <x v="14"/>
    <d v="1899-12-31T00:00:00"/>
    <d v="1899-12-30T15:50:00"/>
    <s v="1h"/>
    <x v="0"/>
    <n v="0"/>
  </r>
  <r>
    <x v="19"/>
    <x v="4"/>
    <x v="0"/>
    <x v="0"/>
    <d v="1899-12-31T01:00:00"/>
    <d v="1899-12-30T18:30:00"/>
    <s v="6h"/>
    <x v="1"/>
    <n v="45"/>
  </r>
  <r>
    <x v="20"/>
    <x v="0"/>
    <x v="15"/>
    <x v="15"/>
    <d v="1899-12-31T02:00:00"/>
    <d v="1899-12-30T20:10:00"/>
    <s v="3.67h"/>
    <x v="0"/>
    <n v="0"/>
  </r>
  <r>
    <x v="21"/>
    <x v="1"/>
    <x v="1"/>
    <x v="4"/>
    <d v="1899-12-31T03:00:00"/>
    <d v="1899-12-30T18:30:00"/>
    <s v="1.5h"/>
    <x v="0"/>
    <n v="0"/>
  </r>
  <r>
    <x v="22"/>
    <x v="2"/>
    <x v="2"/>
    <x v="5"/>
    <d v="1899-12-31T04:00:00"/>
    <d v="1899-12-30T08:00:00"/>
    <s v="1.75h"/>
    <x v="0"/>
    <n v="0"/>
  </r>
  <r>
    <x v="23"/>
    <x v="3"/>
    <x v="3"/>
    <x v="16"/>
    <d v="1899-12-31T05:00:00"/>
    <d v="1899-12-30T08:30:00"/>
    <s v="1.5h"/>
    <x v="0"/>
    <n v="0"/>
  </r>
  <r>
    <x v="24"/>
    <x v="4"/>
    <x v="4"/>
    <x v="17"/>
    <d v="1899-12-31T06:00:00"/>
    <d v="1899-12-30T12:30:00"/>
    <s v="3.75h"/>
    <x v="0"/>
    <n v="0"/>
  </r>
  <r>
    <x v="25"/>
    <x v="0"/>
    <x v="5"/>
    <x v="1"/>
    <d v="1899-12-31T07:00:00"/>
    <d v="1899-12-30T15:00:00"/>
    <s v="4.67h"/>
    <x v="1"/>
    <n v="30"/>
  </r>
  <r>
    <x v="26"/>
    <x v="1"/>
    <x v="0"/>
    <x v="12"/>
    <d v="1899-12-31T08:00:00"/>
    <d v="1899-12-30T13:45:00"/>
    <s v="3.25h"/>
    <x v="0"/>
    <n v="0"/>
  </r>
  <r>
    <x v="27"/>
    <x v="2"/>
    <x v="6"/>
    <x v="18"/>
    <d v="1899-12-31T09:00:00"/>
    <d v="1899-12-30T14:40:00"/>
    <s v="2.5h"/>
    <x v="1"/>
    <n v="20"/>
  </r>
  <r>
    <x v="28"/>
    <x v="3"/>
    <x v="7"/>
    <x v="7"/>
    <d v="1899-12-31T10:00:00"/>
    <d v="1899-12-30T15:30:00"/>
    <s v="2h"/>
    <x v="0"/>
    <n v="0"/>
  </r>
  <r>
    <x v="29"/>
    <x v="4"/>
    <x v="8"/>
    <x v="11"/>
    <d v="1899-12-31T11:00:00"/>
    <d v="1899-12-30T18:30:00"/>
    <s v="3.75h"/>
    <x v="0"/>
    <n v="0"/>
  </r>
  <r>
    <x v="30"/>
    <x v="0"/>
    <x v="9"/>
    <x v="0"/>
    <d v="1899-12-31T12:00:00"/>
    <d v="1899-12-30T18:45:00"/>
    <s v="5h"/>
    <x v="1"/>
    <n v="50"/>
  </r>
  <r>
    <x v="31"/>
    <x v="1"/>
    <x v="10"/>
    <x v="2"/>
    <d v="1899-12-31T13:00:00"/>
    <d v="1899-12-30T19:45:00"/>
    <s v="3h"/>
    <x v="0"/>
    <n v="0"/>
  </r>
  <r>
    <x v="32"/>
    <x v="2"/>
    <x v="11"/>
    <x v="1"/>
    <d v="1899-12-31T14:00:00"/>
    <d v="1899-12-30T08:00:00"/>
    <s v="1.83h"/>
    <x v="0"/>
    <n v="0"/>
  </r>
  <r>
    <x v="33"/>
    <x v="3"/>
    <x v="12"/>
    <x v="6"/>
    <d v="1899-12-31T15:00:00"/>
    <d v="1899-12-30T09:15:00"/>
    <s v="1.83h"/>
    <x v="1"/>
    <n v="20"/>
  </r>
  <r>
    <x v="34"/>
    <x v="4"/>
    <x v="0"/>
    <x v="4"/>
    <d v="1899-12-31T16:00:00"/>
    <d v="1899-12-30T11:30:00"/>
    <s v="3h"/>
    <x v="0"/>
    <n v="0"/>
  </r>
  <r>
    <x v="35"/>
    <x v="0"/>
    <x v="6"/>
    <x v="8"/>
    <d v="1899-12-31T17:00:00"/>
    <d v="1899-12-30T11:30:00"/>
    <s v="3.75h"/>
    <x v="0"/>
    <n v="0"/>
  </r>
  <r>
    <x v="36"/>
    <x v="1"/>
    <x v="5"/>
    <x v="7"/>
    <d v="1899-12-31T18:00:00"/>
    <d v="1899-12-30T13:30:00"/>
    <s v="2.5h"/>
    <x v="1"/>
    <n v="15"/>
  </r>
  <r>
    <x v="37"/>
    <x v="2"/>
    <x v="13"/>
    <x v="19"/>
    <d v="1899-12-31T19:00:00"/>
    <d v="1899-12-30T14:10:00"/>
    <s v="1.5h"/>
    <x v="0"/>
    <n v="0"/>
  </r>
  <r>
    <x v="38"/>
    <x v="3"/>
    <x v="14"/>
    <x v="13"/>
    <d v="1899-12-31T20:00:00"/>
    <d v="1899-12-30T15:20:00"/>
    <s v="1.42h"/>
    <x v="0"/>
    <n v="0"/>
  </r>
  <r>
    <x v="39"/>
    <x v="4"/>
    <x v="0"/>
    <x v="6"/>
    <d v="1899-12-31T21:00:00"/>
    <d v="1899-12-30T17:10:00"/>
    <s v="2.67h"/>
    <x v="2"/>
    <s v="—"/>
  </r>
  <r>
    <x v="40"/>
    <x v="0"/>
    <x v="15"/>
    <x v="12"/>
    <d v="1899-12-31T22:00:00"/>
    <d v="1899-12-30T18:00:00"/>
    <s v="2.25h"/>
    <x v="0"/>
    <n v="0"/>
  </r>
  <r>
    <x v="41"/>
    <x v="1"/>
    <x v="1"/>
    <x v="20"/>
    <d v="1899-12-31T23:00:00"/>
    <d v="1899-12-30T18:45:00"/>
    <s v="1.58h"/>
    <x v="0"/>
    <n v="0"/>
  </r>
  <r>
    <x v="42"/>
    <x v="2"/>
    <x v="2"/>
    <x v="0"/>
    <d v="1900-01-01T00:00:00"/>
    <d v="1899-12-30T07:30:00"/>
    <s v="1.5h"/>
    <x v="0"/>
    <n v="0"/>
  </r>
  <r>
    <x v="43"/>
    <x v="3"/>
    <x v="3"/>
    <x v="21"/>
    <d v="1900-01-01T01:00:00"/>
    <d v="1899-12-30T08:40:00"/>
    <s v="1.17h"/>
    <x v="0"/>
    <n v="0"/>
  </r>
  <r>
    <x v="44"/>
    <x v="4"/>
    <x v="4"/>
    <x v="2"/>
    <d v="1900-01-01T02:00:00"/>
    <d v="1899-12-30T10:15:00"/>
    <s v="1.25h"/>
    <x v="1"/>
    <n v="10"/>
  </r>
  <r>
    <x v="45"/>
    <x v="0"/>
    <x v="5"/>
    <x v="19"/>
    <d v="1900-01-01T03:00:00"/>
    <d v="1899-12-30T11:55:00"/>
    <s v="1.5h"/>
    <x v="0"/>
    <n v="0"/>
  </r>
  <r>
    <x v="46"/>
    <x v="1"/>
    <x v="0"/>
    <x v="11"/>
    <d v="1900-01-01T04:00:00"/>
    <d v="1899-12-30T13:30:00"/>
    <s v="1.25h"/>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4A22D1-E3CC-49A0-9AF2-9070608CC9B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I20" firstHeaderRow="1" firstDataRow="2" firstDataCol="1"/>
  <pivotFields count="9">
    <pivotField dataField="1" showAll="0">
      <items count="48">
        <item x="0"/>
        <item x="10"/>
        <item x="20"/>
        <item x="30"/>
        <item x="40"/>
        <item x="5"/>
        <item x="15"/>
        <item x="25"/>
        <item x="35"/>
        <item x="45"/>
        <item x="1"/>
        <item x="11"/>
        <item x="21"/>
        <item x="31"/>
        <item x="41"/>
        <item x="6"/>
        <item x="16"/>
        <item x="26"/>
        <item x="36"/>
        <item x="46"/>
        <item x="9"/>
        <item x="19"/>
        <item x="29"/>
        <item x="39"/>
        <item x="4"/>
        <item x="14"/>
        <item x="24"/>
        <item x="34"/>
        <item x="44"/>
        <item x="3"/>
        <item x="13"/>
        <item x="23"/>
        <item x="33"/>
        <item x="43"/>
        <item x="8"/>
        <item x="18"/>
        <item x="28"/>
        <item x="38"/>
        <item x="2"/>
        <item x="12"/>
        <item x="22"/>
        <item x="32"/>
        <item x="42"/>
        <item x="7"/>
        <item x="17"/>
        <item x="27"/>
        <item x="37"/>
        <item t="default"/>
      </items>
    </pivotField>
    <pivotField showAll="0">
      <items count="6">
        <item x="2"/>
        <item h="1" x="3"/>
        <item h="1" x="4"/>
        <item h="1" x="0"/>
        <item h="1" x="1"/>
        <item t="default"/>
      </items>
    </pivotField>
    <pivotField axis="axisRow" showAll="0">
      <items count="17">
        <item x="1"/>
        <item x="4"/>
        <item x="9"/>
        <item x="3"/>
        <item x="13"/>
        <item x="15"/>
        <item x="8"/>
        <item x="12"/>
        <item x="11"/>
        <item x="0"/>
        <item x="14"/>
        <item x="5"/>
        <item x="10"/>
        <item x="6"/>
        <item x="7"/>
        <item x="2"/>
        <item t="default"/>
      </items>
    </pivotField>
    <pivotField axis="axisCol" showAll="0">
      <items count="23">
        <item x="6"/>
        <item x="21"/>
        <item x="11"/>
        <item x="10"/>
        <item x="20"/>
        <item x="7"/>
        <item x="9"/>
        <item x="17"/>
        <item x="3"/>
        <item x="18"/>
        <item x="2"/>
        <item x="8"/>
        <item x="0"/>
        <item x="15"/>
        <item x="4"/>
        <item x="12"/>
        <item x="1"/>
        <item x="14"/>
        <item x="5"/>
        <item x="19"/>
        <item x="13"/>
        <item x="16"/>
        <item t="default"/>
      </items>
    </pivotField>
    <pivotField numFmtId="20" showAll="0"/>
    <pivotField numFmtId="20" showAll="0"/>
    <pivotField showAll="0"/>
    <pivotField showAll="0"/>
    <pivotField showAll="0"/>
  </pivotFields>
  <rowFields count="1">
    <field x="2"/>
  </rowFields>
  <rowItems count="5">
    <i>
      <x v="4"/>
    </i>
    <i>
      <x v="8"/>
    </i>
    <i>
      <x v="13"/>
    </i>
    <i>
      <x v="15"/>
    </i>
    <i t="grand">
      <x/>
    </i>
  </rowItems>
  <colFields count="1">
    <field x="3"/>
  </colFields>
  <colItems count="8">
    <i>
      <x v="5"/>
    </i>
    <i>
      <x v="9"/>
    </i>
    <i>
      <x v="10"/>
    </i>
    <i>
      <x v="12"/>
    </i>
    <i>
      <x v="16"/>
    </i>
    <i>
      <x v="18"/>
    </i>
    <i>
      <x v="19"/>
    </i>
    <i t="grand">
      <x/>
    </i>
  </colItems>
  <dataFields count="1">
    <dataField name="Count of Flight No" fld="0" subtotal="count" baseField="0" baseItem="0"/>
  </dataFields>
  <chartFormats count="44">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3" format="4" series="1">
      <pivotArea type="data" outline="0" fieldPosition="0">
        <references count="2">
          <reference field="4294967294" count="1" selected="0">
            <x v="0"/>
          </reference>
          <reference field="3" count="1" selected="0">
            <x v="4"/>
          </reference>
        </references>
      </pivotArea>
    </chartFormat>
    <chartFormat chart="3" format="5" series="1">
      <pivotArea type="data" outline="0" fieldPosition="0">
        <references count="2">
          <reference field="4294967294" count="1" selected="0">
            <x v="0"/>
          </reference>
          <reference field="3" count="1" selected="0">
            <x v="5"/>
          </reference>
        </references>
      </pivotArea>
    </chartFormat>
    <chartFormat chart="3" format="6" series="1">
      <pivotArea type="data" outline="0" fieldPosition="0">
        <references count="2">
          <reference field="4294967294" count="1" selected="0">
            <x v="0"/>
          </reference>
          <reference field="3" count="1" selected="0">
            <x v="6"/>
          </reference>
        </references>
      </pivotArea>
    </chartFormat>
    <chartFormat chart="3" format="7" series="1">
      <pivotArea type="data" outline="0" fieldPosition="0">
        <references count="2">
          <reference field="4294967294" count="1" selected="0">
            <x v="0"/>
          </reference>
          <reference field="3" count="1" selected="0">
            <x v="7"/>
          </reference>
        </references>
      </pivotArea>
    </chartFormat>
    <chartFormat chart="3" format="8" series="1">
      <pivotArea type="data" outline="0" fieldPosition="0">
        <references count="2">
          <reference field="4294967294" count="1" selected="0">
            <x v="0"/>
          </reference>
          <reference field="3" count="1" selected="0">
            <x v="8"/>
          </reference>
        </references>
      </pivotArea>
    </chartFormat>
    <chartFormat chart="3" format="9" series="1">
      <pivotArea type="data" outline="0" fieldPosition="0">
        <references count="2">
          <reference field="4294967294" count="1" selected="0">
            <x v="0"/>
          </reference>
          <reference field="3" count="1" selected="0">
            <x v="9"/>
          </reference>
        </references>
      </pivotArea>
    </chartFormat>
    <chartFormat chart="3" format="10" series="1">
      <pivotArea type="data" outline="0" fieldPosition="0">
        <references count="2">
          <reference field="4294967294" count="1" selected="0">
            <x v="0"/>
          </reference>
          <reference field="3" count="1" selected="0">
            <x v="10"/>
          </reference>
        </references>
      </pivotArea>
    </chartFormat>
    <chartFormat chart="3" format="11" series="1">
      <pivotArea type="data" outline="0" fieldPosition="0">
        <references count="2">
          <reference field="4294967294" count="1" selected="0">
            <x v="0"/>
          </reference>
          <reference field="3" count="1" selected="0">
            <x v="11"/>
          </reference>
        </references>
      </pivotArea>
    </chartFormat>
    <chartFormat chart="3" format="12" series="1">
      <pivotArea type="data" outline="0" fieldPosition="0">
        <references count="2">
          <reference field="4294967294" count="1" selected="0">
            <x v="0"/>
          </reference>
          <reference field="3" count="1" selected="0">
            <x v="12"/>
          </reference>
        </references>
      </pivotArea>
    </chartFormat>
    <chartFormat chart="3" format="13" series="1">
      <pivotArea type="data" outline="0" fieldPosition="0">
        <references count="2">
          <reference field="4294967294" count="1" selected="0">
            <x v="0"/>
          </reference>
          <reference field="3" count="1" selected="0">
            <x v="13"/>
          </reference>
        </references>
      </pivotArea>
    </chartFormat>
    <chartFormat chart="3" format="14" series="1">
      <pivotArea type="data" outline="0" fieldPosition="0">
        <references count="2">
          <reference field="4294967294" count="1" selected="0">
            <x v="0"/>
          </reference>
          <reference field="3" count="1" selected="0">
            <x v="14"/>
          </reference>
        </references>
      </pivotArea>
    </chartFormat>
    <chartFormat chart="3" format="15" series="1">
      <pivotArea type="data" outline="0" fieldPosition="0">
        <references count="2">
          <reference field="4294967294" count="1" selected="0">
            <x v="0"/>
          </reference>
          <reference field="3" count="1" selected="0">
            <x v="15"/>
          </reference>
        </references>
      </pivotArea>
    </chartFormat>
    <chartFormat chart="3" format="16" series="1">
      <pivotArea type="data" outline="0" fieldPosition="0">
        <references count="2">
          <reference field="4294967294" count="1" selected="0">
            <x v="0"/>
          </reference>
          <reference field="3" count="1" selected="0">
            <x v="16"/>
          </reference>
        </references>
      </pivotArea>
    </chartFormat>
    <chartFormat chart="3" format="17" series="1">
      <pivotArea type="data" outline="0" fieldPosition="0">
        <references count="2">
          <reference field="4294967294" count="1" selected="0">
            <x v="0"/>
          </reference>
          <reference field="3" count="1" selected="0">
            <x v="17"/>
          </reference>
        </references>
      </pivotArea>
    </chartFormat>
    <chartFormat chart="3" format="18" series="1">
      <pivotArea type="data" outline="0" fieldPosition="0">
        <references count="2">
          <reference field="4294967294" count="1" selected="0">
            <x v="0"/>
          </reference>
          <reference field="3" count="1" selected="0">
            <x v="18"/>
          </reference>
        </references>
      </pivotArea>
    </chartFormat>
    <chartFormat chart="3" format="19" series="1">
      <pivotArea type="data" outline="0" fieldPosition="0">
        <references count="2">
          <reference field="4294967294" count="1" selected="0">
            <x v="0"/>
          </reference>
          <reference field="3" count="1" selected="0">
            <x v="19"/>
          </reference>
        </references>
      </pivotArea>
    </chartFormat>
    <chartFormat chart="3" format="20" series="1">
      <pivotArea type="data" outline="0" fieldPosition="0">
        <references count="2">
          <reference field="4294967294" count="1" selected="0">
            <x v="0"/>
          </reference>
          <reference field="3" count="1" selected="0">
            <x v="20"/>
          </reference>
        </references>
      </pivotArea>
    </chartFormat>
    <chartFormat chart="3" format="21" series="1">
      <pivotArea type="data" outline="0" fieldPosition="0">
        <references count="2">
          <reference field="4294967294" count="1" selected="0">
            <x v="0"/>
          </reference>
          <reference field="3" count="1" selected="0">
            <x v="21"/>
          </reference>
        </references>
      </pivotArea>
    </chartFormat>
    <chartFormat chart="5" format="44" series="1">
      <pivotArea type="data" outline="0" fieldPosition="0">
        <references count="2">
          <reference field="4294967294" count="1" selected="0">
            <x v="0"/>
          </reference>
          <reference field="3" count="1" selected="0">
            <x v="0"/>
          </reference>
        </references>
      </pivotArea>
    </chartFormat>
    <chartFormat chart="5" format="45" series="1">
      <pivotArea type="data" outline="0" fieldPosition="0">
        <references count="2">
          <reference field="4294967294" count="1" selected="0">
            <x v="0"/>
          </reference>
          <reference field="3" count="1" selected="0">
            <x v="1"/>
          </reference>
        </references>
      </pivotArea>
    </chartFormat>
    <chartFormat chart="5" format="46" series="1">
      <pivotArea type="data" outline="0" fieldPosition="0">
        <references count="2">
          <reference field="4294967294" count="1" selected="0">
            <x v="0"/>
          </reference>
          <reference field="3" count="1" selected="0">
            <x v="2"/>
          </reference>
        </references>
      </pivotArea>
    </chartFormat>
    <chartFormat chart="5" format="47" series="1">
      <pivotArea type="data" outline="0" fieldPosition="0">
        <references count="2">
          <reference field="4294967294" count="1" selected="0">
            <x v="0"/>
          </reference>
          <reference field="3" count="1" selected="0">
            <x v="3"/>
          </reference>
        </references>
      </pivotArea>
    </chartFormat>
    <chartFormat chart="5" format="48" series="1">
      <pivotArea type="data" outline="0" fieldPosition="0">
        <references count="2">
          <reference field="4294967294" count="1" selected="0">
            <x v="0"/>
          </reference>
          <reference field="3" count="1" selected="0">
            <x v="4"/>
          </reference>
        </references>
      </pivotArea>
    </chartFormat>
    <chartFormat chart="5" format="49" series="1">
      <pivotArea type="data" outline="0" fieldPosition="0">
        <references count="2">
          <reference field="4294967294" count="1" selected="0">
            <x v="0"/>
          </reference>
          <reference field="3" count="1" selected="0">
            <x v="5"/>
          </reference>
        </references>
      </pivotArea>
    </chartFormat>
    <chartFormat chart="5" format="50" series="1">
      <pivotArea type="data" outline="0" fieldPosition="0">
        <references count="2">
          <reference field="4294967294" count="1" selected="0">
            <x v="0"/>
          </reference>
          <reference field="3" count="1" selected="0">
            <x v="6"/>
          </reference>
        </references>
      </pivotArea>
    </chartFormat>
    <chartFormat chart="5" format="51" series="1">
      <pivotArea type="data" outline="0" fieldPosition="0">
        <references count="2">
          <reference field="4294967294" count="1" selected="0">
            <x v="0"/>
          </reference>
          <reference field="3" count="1" selected="0">
            <x v="7"/>
          </reference>
        </references>
      </pivotArea>
    </chartFormat>
    <chartFormat chart="5" format="52" series="1">
      <pivotArea type="data" outline="0" fieldPosition="0">
        <references count="2">
          <reference field="4294967294" count="1" selected="0">
            <x v="0"/>
          </reference>
          <reference field="3" count="1" selected="0">
            <x v="8"/>
          </reference>
        </references>
      </pivotArea>
    </chartFormat>
    <chartFormat chart="5" format="53" series="1">
      <pivotArea type="data" outline="0" fieldPosition="0">
        <references count="2">
          <reference field="4294967294" count="1" selected="0">
            <x v="0"/>
          </reference>
          <reference field="3" count="1" selected="0">
            <x v="9"/>
          </reference>
        </references>
      </pivotArea>
    </chartFormat>
    <chartFormat chart="5" format="54" series="1">
      <pivotArea type="data" outline="0" fieldPosition="0">
        <references count="2">
          <reference field="4294967294" count="1" selected="0">
            <x v="0"/>
          </reference>
          <reference field="3" count="1" selected="0">
            <x v="10"/>
          </reference>
        </references>
      </pivotArea>
    </chartFormat>
    <chartFormat chart="5" format="55" series="1">
      <pivotArea type="data" outline="0" fieldPosition="0">
        <references count="2">
          <reference field="4294967294" count="1" selected="0">
            <x v="0"/>
          </reference>
          <reference field="3" count="1" selected="0">
            <x v="11"/>
          </reference>
        </references>
      </pivotArea>
    </chartFormat>
    <chartFormat chart="5" format="56" series="1">
      <pivotArea type="data" outline="0" fieldPosition="0">
        <references count="2">
          <reference field="4294967294" count="1" selected="0">
            <x v="0"/>
          </reference>
          <reference field="3" count="1" selected="0">
            <x v="12"/>
          </reference>
        </references>
      </pivotArea>
    </chartFormat>
    <chartFormat chart="5" format="57" series="1">
      <pivotArea type="data" outline="0" fieldPosition="0">
        <references count="2">
          <reference field="4294967294" count="1" selected="0">
            <x v="0"/>
          </reference>
          <reference field="3" count="1" selected="0">
            <x v="13"/>
          </reference>
        </references>
      </pivotArea>
    </chartFormat>
    <chartFormat chart="5" format="58" series="1">
      <pivotArea type="data" outline="0" fieldPosition="0">
        <references count="2">
          <reference field="4294967294" count="1" selected="0">
            <x v="0"/>
          </reference>
          <reference field="3" count="1" selected="0">
            <x v="14"/>
          </reference>
        </references>
      </pivotArea>
    </chartFormat>
    <chartFormat chart="5" format="59" series="1">
      <pivotArea type="data" outline="0" fieldPosition="0">
        <references count="2">
          <reference field="4294967294" count="1" selected="0">
            <x v="0"/>
          </reference>
          <reference field="3" count="1" selected="0">
            <x v="15"/>
          </reference>
        </references>
      </pivotArea>
    </chartFormat>
    <chartFormat chart="5" format="60" series="1">
      <pivotArea type="data" outline="0" fieldPosition="0">
        <references count="2">
          <reference field="4294967294" count="1" selected="0">
            <x v="0"/>
          </reference>
          <reference field="3" count="1" selected="0">
            <x v="16"/>
          </reference>
        </references>
      </pivotArea>
    </chartFormat>
    <chartFormat chart="5" format="61" series="1">
      <pivotArea type="data" outline="0" fieldPosition="0">
        <references count="2">
          <reference field="4294967294" count="1" selected="0">
            <x v="0"/>
          </reference>
          <reference field="3" count="1" selected="0">
            <x v="17"/>
          </reference>
        </references>
      </pivotArea>
    </chartFormat>
    <chartFormat chart="5" format="62" series="1">
      <pivotArea type="data" outline="0" fieldPosition="0">
        <references count="2">
          <reference field="4294967294" count="1" selected="0">
            <x v="0"/>
          </reference>
          <reference field="3" count="1" selected="0">
            <x v="18"/>
          </reference>
        </references>
      </pivotArea>
    </chartFormat>
    <chartFormat chart="5" format="63" series="1">
      <pivotArea type="data" outline="0" fieldPosition="0">
        <references count="2">
          <reference field="4294967294" count="1" selected="0">
            <x v="0"/>
          </reference>
          <reference field="3" count="1" selected="0">
            <x v="19"/>
          </reference>
        </references>
      </pivotArea>
    </chartFormat>
    <chartFormat chart="5" format="64" series="1">
      <pivotArea type="data" outline="0" fieldPosition="0">
        <references count="2">
          <reference field="4294967294" count="1" selected="0">
            <x v="0"/>
          </reference>
          <reference field="3" count="1" selected="0">
            <x v="20"/>
          </reference>
        </references>
      </pivotArea>
    </chartFormat>
    <chartFormat chart="5" format="65" series="1">
      <pivotArea type="data" outline="0" fieldPosition="0">
        <references count="2">
          <reference field="4294967294" count="1" selected="0">
            <x v="0"/>
          </reference>
          <reference field="3"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06533E-6E68-4754-9126-7CB06E6E55B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K10" firstHeaderRow="1" firstDataRow="2" firstDataCol="1"/>
  <pivotFields count="9">
    <pivotField dataField="1" showAll="0">
      <items count="48">
        <item x="0"/>
        <item x="10"/>
        <item x="20"/>
        <item x="30"/>
        <item x="40"/>
        <item x="5"/>
        <item x="15"/>
        <item x="25"/>
        <item x="35"/>
        <item x="45"/>
        <item x="1"/>
        <item x="11"/>
        <item x="21"/>
        <item x="31"/>
        <item x="41"/>
        <item x="6"/>
        <item x="16"/>
        <item x="26"/>
        <item x="36"/>
        <item x="46"/>
        <item x="9"/>
        <item x="19"/>
        <item x="29"/>
        <item x="39"/>
        <item x="4"/>
        <item x="14"/>
        <item x="24"/>
        <item x="34"/>
        <item x="44"/>
        <item x="3"/>
        <item x="13"/>
        <item x="23"/>
        <item x="33"/>
        <item x="43"/>
        <item x="8"/>
        <item x="18"/>
        <item x="28"/>
        <item x="38"/>
        <item x="2"/>
        <item x="12"/>
        <item x="22"/>
        <item x="32"/>
        <item x="42"/>
        <item x="7"/>
        <item x="17"/>
        <item x="27"/>
        <item x="37"/>
        <item t="default"/>
      </items>
    </pivotField>
    <pivotField axis="axisRow" showAll="0">
      <items count="6">
        <item x="2"/>
        <item x="3"/>
        <item x="4"/>
        <item x="0"/>
        <item x="1"/>
        <item t="default"/>
      </items>
    </pivotField>
    <pivotField showAll="0"/>
    <pivotField showAll="0"/>
    <pivotField numFmtId="20" showAll="0"/>
    <pivotField numFmtId="20" showAll="0"/>
    <pivotField showAll="0"/>
    <pivotField axis="axisCol" showAll="0">
      <items count="4">
        <item x="2"/>
        <item x="1"/>
        <item x="0"/>
        <item t="default"/>
      </items>
    </pivotField>
    <pivotField showAll="0"/>
  </pivotFields>
  <rowFields count="1">
    <field x="1"/>
  </rowFields>
  <rowItems count="6">
    <i>
      <x/>
    </i>
    <i>
      <x v="1"/>
    </i>
    <i>
      <x v="2"/>
    </i>
    <i>
      <x v="3"/>
    </i>
    <i>
      <x v="4"/>
    </i>
    <i t="grand">
      <x/>
    </i>
  </rowItems>
  <colFields count="1">
    <field x="7"/>
  </colFields>
  <colItems count="4">
    <i>
      <x/>
    </i>
    <i>
      <x v="1"/>
    </i>
    <i>
      <x v="2"/>
    </i>
    <i t="grand">
      <x/>
    </i>
  </colItems>
  <dataFields count="1">
    <dataField name="Count of Flight No" fld="0" subtotal="count" baseField="0" baseItem="0"/>
  </dataFields>
  <chartFormats count="6">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3" format="6" series="1">
      <pivotArea type="data" outline="0" fieldPosition="0">
        <references count="2">
          <reference field="4294967294" count="1" selected="0">
            <x v="0"/>
          </reference>
          <reference field="7" count="1" selected="0">
            <x v="0"/>
          </reference>
        </references>
      </pivotArea>
    </chartFormat>
    <chartFormat chart="3" format="7" series="1">
      <pivotArea type="data" outline="0" fieldPosition="0">
        <references count="2">
          <reference field="4294967294" count="1" selected="0">
            <x v="0"/>
          </reference>
          <reference field="7" count="1" selected="0">
            <x v="1"/>
          </reference>
        </references>
      </pivotArea>
    </chartFormat>
    <chartFormat chart="3"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6CB14E-B380-434C-81A6-4A30BE14A78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9" firstHeaderRow="1" firstDataRow="1" firstDataCol="1"/>
  <pivotFields count="9">
    <pivotField showAll="0">
      <items count="48">
        <item x="0"/>
        <item x="10"/>
        <item x="20"/>
        <item x="30"/>
        <item x="40"/>
        <item x="5"/>
        <item x="15"/>
        <item x="25"/>
        <item x="35"/>
        <item x="45"/>
        <item x="1"/>
        <item x="11"/>
        <item x="21"/>
        <item x="31"/>
        <item x="41"/>
        <item x="6"/>
        <item x="16"/>
        <item x="26"/>
        <item x="36"/>
        <item x="46"/>
        <item x="9"/>
        <item x="19"/>
        <item x="29"/>
        <item x="39"/>
        <item x="4"/>
        <item x="14"/>
        <item x="24"/>
        <item x="34"/>
        <item x="44"/>
        <item x="3"/>
        <item x="13"/>
        <item x="23"/>
        <item x="33"/>
        <item x="43"/>
        <item x="8"/>
        <item x="18"/>
        <item x="28"/>
        <item x="38"/>
        <item x="2"/>
        <item x="12"/>
        <item x="22"/>
        <item x="32"/>
        <item x="42"/>
        <item x="7"/>
        <item x="17"/>
        <item x="27"/>
        <item x="37"/>
        <item t="default"/>
      </items>
    </pivotField>
    <pivotField axis="axisRow" showAll="0">
      <items count="6">
        <item x="2"/>
        <item x="3"/>
        <item x="4"/>
        <item x="0"/>
        <item x="1"/>
        <item t="default"/>
      </items>
    </pivotField>
    <pivotField showAll="0"/>
    <pivotField showAll="0"/>
    <pivotField numFmtId="20" showAll="0"/>
    <pivotField numFmtId="20" showAll="0"/>
    <pivotField showAll="0"/>
    <pivotField showAll="0"/>
    <pivotField dataField="1" showAll="0"/>
  </pivotFields>
  <rowFields count="1">
    <field x="1"/>
  </rowFields>
  <rowItems count="6">
    <i>
      <x/>
    </i>
    <i>
      <x v="1"/>
    </i>
    <i>
      <x v="2"/>
    </i>
    <i>
      <x v="3"/>
    </i>
    <i>
      <x v="4"/>
    </i>
    <i t="grand">
      <x/>
    </i>
  </rowItems>
  <colItems count="1">
    <i/>
  </colItems>
  <dataFields count="1">
    <dataField name="Count of Delay (min)" fld="8"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6C4423-C6E6-4249-8FB8-E8DF2559A2A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9">
    <pivotField dataField="1" showAll="0">
      <items count="48">
        <item x="0"/>
        <item x="10"/>
        <item x="20"/>
        <item x="30"/>
        <item x="40"/>
        <item x="5"/>
        <item x="15"/>
        <item x="25"/>
        <item x="35"/>
        <item x="45"/>
        <item x="1"/>
        <item x="11"/>
        <item x="21"/>
        <item x="31"/>
        <item x="41"/>
        <item x="6"/>
        <item x="16"/>
        <item x="26"/>
        <item x="36"/>
        <item x="46"/>
        <item x="9"/>
        <item x="19"/>
        <item x="29"/>
        <item x="39"/>
        <item x="4"/>
        <item x="14"/>
        <item x="24"/>
        <item x="34"/>
        <item x="44"/>
        <item x="3"/>
        <item x="13"/>
        <item x="23"/>
        <item x="33"/>
        <item x="43"/>
        <item x="8"/>
        <item x="18"/>
        <item x="28"/>
        <item x="38"/>
        <item x="2"/>
        <item x="12"/>
        <item x="22"/>
        <item x="32"/>
        <item x="42"/>
        <item x="7"/>
        <item x="17"/>
        <item x="27"/>
        <item x="37"/>
        <item t="default"/>
      </items>
    </pivotField>
    <pivotField axis="axisRow" showAll="0">
      <items count="6">
        <item x="2"/>
        <item x="3"/>
        <item x="4"/>
        <item x="0"/>
        <item x="1"/>
        <item t="default"/>
      </items>
    </pivotField>
    <pivotField showAll="0"/>
    <pivotField showAll="0"/>
    <pivotField numFmtId="20" showAll="0"/>
    <pivotField numFmtId="20" showAll="0"/>
    <pivotField showAll="0"/>
    <pivotField showAll="0"/>
    <pivotField showAll="0"/>
  </pivotFields>
  <rowFields count="1">
    <field x="1"/>
  </rowFields>
  <rowItems count="6">
    <i>
      <x/>
    </i>
    <i>
      <x v="1"/>
    </i>
    <i>
      <x v="2"/>
    </i>
    <i>
      <x v="3"/>
    </i>
    <i>
      <x v="4"/>
    </i>
    <i t="grand">
      <x/>
    </i>
  </rowItems>
  <colItems count="1">
    <i/>
  </colItems>
  <dataFields count="1">
    <dataField name="Count of Flight No" fld="0" subtotal="count" baseField="0" baseItem="0"/>
  </dataFields>
  <chartFormats count="4">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ight_No" xr10:uid="{309415CD-BEEC-40F6-BA1E-168969FD5EAC}" sourceName="Flight No">
  <pivotTables>
    <pivotTable tabId="2" name="PivotTable4"/>
  </pivotTables>
  <data>
    <tabular pivotCacheId="1019536697">
      <items count="47">
        <i x="2" s="1"/>
        <i x="12" s="1"/>
        <i x="22" s="1"/>
        <i x="32" s="1"/>
        <i x="42" s="1"/>
        <i x="7" s="1"/>
        <i x="17" s="1"/>
        <i x="27" s="1"/>
        <i x="37" s="1"/>
        <i x="0" s="1" nd="1"/>
        <i x="10" s="1" nd="1"/>
        <i x="20" s="1" nd="1"/>
        <i x="30" s="1" nd="1"/>
        <i x="40" s="1" nd="1"/>
        <i x="5" s="1" nd="1"/>
        <i x="15" s="1" nd="1"/>
        <i x="25" s="1" nd="1"/>
        <i x="35" s="1" nd="1"/>
        <i x="45" s="1" nd="1"/>
        <i x="1" s="1" nd="1"/>
        <i x="11" s="1" nd="1"/>
        <i x="21" s="1" nd="1"/>
        <i x="31" s="1" nd="1"/>
        <i x="41" s="1" nd="1"/>
        <i x="6" s="1" nd="1"/>
        <i x="16" s="1" nd="1"/>
        <i x="26" s="1" nd="1"/>
        <i x="36" s="1" nd="1"/>
        <i x="46" s="1" nd="1"/>
        <i x="9" s="1" nd="1"/>
        <i x="19" s="1" nd="1"/>
        <i x="29" s="1" nd="1"/>
        <i x="39" s="1" nd="1"/>
        <i x="4" s="1" nd="1"/>
        <i x="14" s="1" nd="1"/>
        <i x="24" s="1" nd="1"/>
        <i x="34" s="1" nd="1"/>
        <i x="44" s="1" nd="1"/>
        <i x="3" s="1" nd="1"/>
        <i x="13" s="1" nd="1"/>
        <i x="23" s="1" nd="1"/>
        <i x="33" s="1" nd="1"/>
        <i x="43" s="1" nd="1"/>
        <i x="8" s="1" nd="1"/>
        <i x="18" s="1" nd="1"/>
        <i x="28" s="1" nd="1"/>
        <i x="3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 xr10:uid="{5ABF8B46-20BC-47EA-8495-F521ED35AB9F}" sourceName="Airline">
  <pivotTables>
    <pivotTable tabId="2" name="PivotTable4"/>
  </pivotTables>
  <data>
    <tabular pivotCacheId="1019536697">
      <items count="5">
        <i x="2" s="1"/>
        <i x="3"/>
        <i x="4"/>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light No" xr10:uid="{4F1571F6-0122-4B38-B457-AEF54CE44284}" cache="Slicer_Flight_No" caption="Flight No" rowHeight="234950"/>
  <slicer name="Airline" xr10:uid="{260DB02A-9FED-4949-8FC3-65CDA88F0BB7}" cache="Slicer_Airline" caption="Airli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7C04A4-CA7D-41CF-BF06-DA9686DF9788}" name="Table1" displayName="Table1" ref="A3:I50" totalsRowShown="0" headerRowDxfId="22" dataDxfId="20" headerRowBorderDxfId="21" tableBorderDxfId="19" totalsRowBorderDxfId="18">
  <tableColumns count="9">
    <tableColumn id="1" xr3:uid="{F24E70C3-C157-4EBA-8268-4D891132F6D5}" name="Flight No" dataDxfId="17"/>
    <tableColumn id="2" xr3:uid="{581FF7CA-8797-4436-BB5E-4FEE66E59B9B}" name="Airline" dataDxfId="16"/>
    <tableColumn id="3" xr3:uid="{410CDEB1-99ED-4D84-A07E-E0C7E5F92B3A}" name="Origin" dataDxfId="15"/>
    <tableColumn id="4" xr3:uid="{88F9D3FE-BE84-4018-B36A-1F22CE2D6215}" name="Destination" dataDxfId="14"/>
    <tableColumn id="5" xr3:uid="{CF1F5A72-95E9-4965-83B7-4DCFB4CA1C76}" name="Departure Time" dataDxfId="13"/>
    <tableColumn id="6" xr3:uid="{42A50C3C-A2BD-4AA4-A2CB-AA883C52DBF6}" name="Arrival  Time" dataDxfId="12"/>
    <tableColumn id="7" xr3:uid="{C3013AB0-1EEE-4A62-AE2B-7752B83908C1}" name="Duration" dataDxfId="11"/>
    <tableColumn id="8" xr3:uid="{C7350C3B-CFB5-4DB1-A5CC-362587D26FF7}" name="Status" dataDxfId="10"/>
    <tableColumn id="9" xr3:uid="{30C3E6E8-C525-4807-91B4-15B8E58D4788}" name="Delay (min)" dataDxfId="9"/>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8BFD2FB-C6E5-471D-AF07-3097CED37E35}" name="Table8" displayName="Table8" ref="K4:L8" totalsRowShown="0">
  <tableColumns count="2">
    <tableColumn id="1" xr3:uid="{798515CC-D1EB-4841-ADA2-008A133EF702}" name="SUMIF,SUMIFS,COUNTIF,COUNTIFS"/>
    <tableColumn id="2" xr3:uid="{3DC5A38B-3243-497C-930B-4143BC0AF509}" name="Column1"/>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C71CD39-CB94-4821-B301-CD611CFB4040}" name="Table2510" displayName="Table2510" ref="K11:M12" totalsRowShown="0" headerRowDxfId="8">
  <tableColumns count="3">
    <tableColumn id="1" xr3:uid="{94087496-43E9-44B0-9B5F-BEC44329EE8B}" name="Sum" dataDxfId="7">
      <calculatedColumnFormula>SUM(E4,F4)</calculatedColumnFormula>
    </tableColumn>
    <tableColumn id="2" xr3:uid="{D1687D60-4A17-4A56-AEA6-6F422C986F01}" name="Average" dataDxfId="6">
      <calculatedColumnFormula>AVERAGE(I5,I10)</calculatedColumnFormula>
    </tableColumn>
    <tableColumn id="3" xr3:uid="{1982CB7F-5D8E-482F-B5BC-895B3AE0926B}" name="Count">
      <calculatedColumnFormula>COUNT(I4:I50)</calculatedColumnFormula>
    </tableColumn>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297AFEC-839D-4CF2-A695-CE6857F0349E}" name="Table2611" displayName="Table2611" ref="O4:R5" totalsRowShown="0" headerRowDxfId="5">
  <tableColumns count="4">
    <tableColumn id="1" xr3:uid="{41F02DE2-4201-400C-85A8-A15745DCC51A}" name="IF">
      <calculatedColumnFormula>IF(I4&gt;0,"Delayed","On Time")</calculatedColumnFormula>
    </tableColumn>
    <tableColumn id="2" xr3:uid="{15DC7F2C-2164-474E-B801-8F616B452407}" name="Nested If" dataDxfId="4">
      <calculatedColumnFormula>IF(I3=0,"On Time",IF(I3&lt;=15,"Slight Delay","Big Delay"))</calculatedColumnFormula>
    </tableColumn>
    <tableColumn id="3" xr3:uid="{C956797C-CCC6-459E-A086-2E26C66F3836}" name="And IF">
      <calculatedColumnFormula>IF(AND(I3="Delta",I3&gt;0),"Delayed Delta","OK")</calculatedColumnFormula>
    </tableColumn>
    <tableColumn id="4" xr3:uid="{C0A14014-56D3-4069-897C-5DB65886D7F3}" name="OR IF">
      <calculatedColumnFormula>IF(OR(I3&gt;30,I3="Cancelled"),"Problem Flight","OK")</calculatedColumnFormula>
    </tableColumn>
  </tableColumns>
  <tableStyleInfo name="TableStyleLight2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F3C29A1-C783-4CE9-B853-BFB1316E1D53}" name="Table11" displayName="Table11" ref="C61:D65" totalsRowShown="0" headerRowDxfId="3">
  <tableColumns count="2">
    <tableColumn id="1" xr3:uid="{2E90EF26-8DE5-44DC-B5D5-DDECCCBA5505}" name="Column1"/>
    <tableColumn id="2" xr3:uid="{06C1A2C6-6114-4A26-AF71-E8B674B5F768}" name="Column2"/>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98670-4295-4E2D-803A-2ADBBDBC8A66}">
  <dimension ref="A1:K20"/>
  <sheetViews>
    <sheetView workbookViewId="0">
      <selection activeCell="M21" sqref="M21"/>
    </sheetView>
  </sheetViews>
  <sheetFormatPr defaultRowHeight="14.4" x14ac:dyDescent="0.3"/>
  <cols>
    <col min="1" max="1" width="16.33203125" bestFit="1" customWidth="1"/>
    <col min="2" max="2" width="15.5546875" bestFit="1" customWidth="1"/>
    <col min="3" max="3" width="4" bestFit="1" customWidth="1"/>
    <col min="4" max="4" width="13.5546875" customWidth="1"/>
    <col min="5" max="5" width="21.33203125" customWidth="1"/>
    <col min="6" max="6" width="4.6640625" bestFit="1" customWidth="1"/>
    <col min="7" max="8" width="4.21875" bestFit="1" customWidth="1"/>
    <col min="9" max="9" width="10.77734375" bestFit="1" customWidth="1"/>
    <col min="10" max="10" width="4.88671875" bestFit="1" customWidth="1"/>
    <col min="11" max="11" width="10.5546875" customWidth="1"/>
    <col min="12" max="12" width="3.6640625" bestFit="1" customWidth="1"/>
    <col min="13" max="13" width="4.109375" bestFit="1" customWidth="1"/>
    <col min="14" max="14" width="4.21875" bestFit="1" customWidth="1"/>
    <col min="15" max="15" width="4.33203125" bestFit="1" customWidth="1"/>
    <col min="16" max="16" width="5.21875" bestFit="1" customWidth="1"/>
    <col min="17" max="17" width="4.5546875" bestFit="1" customWidth="1"/>
    <col min="18" max="18" width="4.6640625" bestFit="1" customWidth="1"/>
    <col min="19" max="19" width="4.44140625" bestFit="1" customWidth="1"/>
    <col min="20" max="21" width="4.21875" bestFit="1" customWidth="1"/>
    <col min="22" max="22" width="4" bestFit="1" customWidth="1"/>
    <col min="23" max="23" width="3.88671875" bestFit="1" customWidth="1"/>
    <col min="24" max="24" width="10.77734375" bestFit="1" customWidth="1"/>
  </cols>
  <sheetData>
    <row r="1" spans="1:11" ht="18" x14ac:dyDescent="0.35">
      <c r="G1" s="22" t="s">
        <v>134</v>
      </c>
    </row>
    <row r="3" spans="1:11" x14ac:dyDescent="0.3">
      <c r="A3" s="15" t="s">
        <v>125</v>
      </c>
      <c r="B3" t="s">
        <v>127</v>
      </c>
      <c r="D3" s="15" t="s">
        <v>125</v>
      </c>
      <c r="E3" t="s">
        <v>128</v>
      </c>
      <c r="G3" s="15" t="s">
        <v>127</v>
      </c>
      <c r="H3" s="15" t="s">
        <v>129</v>
      </c>
    </row>
    <row r="4" spans="1:11" x14ac:dyDescent="0.3">
      <c r="A4" s="16" t="s">
        <v>20</v>
      </c>
      <c r="B4">
        <v>9</v>
      </c>
      <c r="D4" s="16" t="s">
        <v>20</v>
      </c>
      <c r="E4">
        <v>9</v>
      </c>
      <c r="G4" s="15" t="s">
        <v>125</v>
      </c>
      <c r="H4" t="s">
        <v>33</v>
      </c>
      <c r="I4" t="s">
        <v>18</v>
      </c>
      <c r="J4" t="s">
        <v>12</v>
      </c>
      <c r="K4" t="s">
        <v>126</v>
      </c>
    </row>
    <row r="5" spans="1:11" x14ac:dyDescent="0.3">
      <c r="A5" s="16" t="s">
        <v>24</v>
      </c>
      <c r="B5">
        <v>9</v>
      </c>
      <c r="D5" s="16" t="s">
        <v>24</v>
      </c>
      <c r="E5">
        <v>9</v>
      </c>
      <c r="G5" s="16" t="s">
        <v>20</v>
      </c>
      <c r="I5">
        <v>3</v>
      </c>
      <c r="J5">
        <v>6</v>
      </c>
      <c r="K5">
        <v>9</v>
      </c>
    </row>
    <row r="6" spans="1:11" x14ac:dyDescent="0.3">
      <c r="A6" s="16" t="s">
        <v>29</v>
      </c>
      <c r="B6">
        <v>9</v>
      </c>
      <c r="D6" s="16" t="s">
        <v>29</v>
      </c>
      <c r="E6">
        <v>9</v>
      </c>
      <c r="G6" s="16" t="s">
        <v>24</v>
      </c>
      <c r="I6">
        <v>1</v>
      </c>
      <c r="J6">
        <v>8</v>
      </c>
      <c r="K6">
        <v>9</v>
      </c>
    </row>
    <row r="7" spans="1:11" x14ac:dyDescent="0.3">
      <c r="A7" s="16" t="s">
        <v>8</v>
      </c>
      <c r="B7">
        <v>10</v>
      </c>
      <c r="D7" s="16" t="s">
        <v>8</v>
      </c>
      <c r="E7">
        <v>10</v>
      </c>
      <c r="G7" s="16" t="s">
        <v>29</v>
      </c>
      <c r="H7">
        <v>2</v>
      </c>
      <c r="I7">
        <v>3</v>
      </c>
      <c r="J7">
        <v>4</v>
      </c>
      <c r="K7">
        <v>9</v>
      </c>
    </row>
    <row r="8" spans="1:11" x14ac:dyDescent="0.3">
      <c r="A8" s="16" t="s">
        <v>14</v>
      </c>
      <c r="B8">
        <v>10</v>
      </c>
      <c r="D8" s="16" t="s">
        <v>14</v>
      </c>
      <c r="E8">
        <v>10</v>
      </c>
      <c r="G8" s="16" t="s">
        <v>8</v>
      </c>
      <c r="H8">
        <v>1</v>
      </c>
      <c r="I8">
        <v>2</v>
      </c>
      <c r="J8">
        <v>7</v>
      </c>
      <c r="K8">
        <v>10</v>
      </c>
    </row>
    <row r="9" spans="1:11" x14ac:dyDescent="0.3">
      <c r="A9" s="16" t="s">
        <v>126</v>
      </c>
      <c r="B9">
        <v>47</v>
      </c>
      <c r="D9" s="16" t="s">
        <v>126</v>
      </c>
      <c r="E9">
        <v>47</v>
      </c>
      <c r="G9" s="16" t="s">
        <v>14</v>
      </c>
      <c r="I9">
        <v>3</v>
      </c>
      <c r="J9">
        <v>7</v>
      </c>
      <c r="K9">
        <v>10</v>
      </c>
    </row>
    <row r="10" spans="1:11" x14ac:dyDescent="0.3">
      <c r="G10" s="16" t="s">
        <v>126</v>
      </c>
      <c r="H10">
        <v>3</v>
      </c>
      <c r="I10">
        <v>12</v>
      </c>
      <c r="J10">
        <v>32</v>
      </c>
      <c r="K10">
        <v>47</v>
      </c>
    </row>
    <row r="14" spans="1:11" x14ac:dyDescent="0.3">
      <c r="A14" s="15" t="s">
        <v>127</v>
      </c>
      <c r="B14" s="15" t="s">
        <v>129</v>
      </c>
    </row>
    <row r="15" spans="1:11" x14ac:dyDescent="0.3">
      <c r="A15" s="15" t="s">
        <v>125</v>
      </c>
      <c r="B15" t="s">
        <v>40</v>
      </c>
      <c r="C15" t="s">
        <v>83</v>
      </c>
      <c r="D15" t="s">
        <v>9</v>
      </c>
      <c r="E15" t="s">
        <v>10</v>
      </c>
      <c r="F15" t="s">
        <v>16</v>
      </c>
      <c r="G15" t="s">
        <v>36</v>
      </c>
      <c r="H15" t="s">
        <v>21</v>
      </c>
      <c r="I15" t="s">
        <v>126</v>
      </c>
    </row>
    <row r="16" spans="1:11" x14ac:dyDescent="0.3">
      <c r="A16" s="16" t="s">
        <v>40</v>
      </c>
      <c r="F16">
        <v>1</v>
      </c>
      <c r="H16">
        <v>1</v>
      </c>
      <c r="I16">
        <v>2</v>
      </c>
    </row>
    <row r="17" spans="1:9" x14ac:dyDescent="0.3">
      <c r="A17" s="16" t="s">
        <v>56</v>
      </c>
      <c r="E17">
        <v>1</v>
      </c>
      <c r="F17">
        <v>1</v>
      </c>
      <c r="I17">
        <v>2</v>
      </c>
    </row>
    <row r="18" spans="1:9" x14ac:dyDescent="0.3">
      <c r="A18" s="16" t="s">
        <v>16</v>
      </c>
      <c r="B18">
        <v>1</v>
      </c>
      <c r="C18">
        <v>1</v>
      </c>
      <c r="I18">
        <v>2</v>
      </c>
    </row>
    <row r="19" spans="1:9" x14ac:dyDescent="0.3">
      <c r="A19" s="16" t="s">
        <v>21</v>
      </c>
      <c r="D19">
        <v>1</v>
      </c>
      <c r="E19">
        <v>1</v>
      </c>
      <c r="G19">
        <v>1</v>
      </c>
      <c r="I19">
        <v>3</v>
      </c>
    </row>
    <row r="20" spans="1:9" x14ac:dyDescent="0.3">
      <c r="A20" s="16" t="s">
        <v>126</v>
      </c>
      <c r="B20">
        <v>1</v>
      </c>
      <c r="C20">
        <v>1</v>
      </c>
      <c r="D20">
        <v>1</v>
      </c>
      <c r="E20">
        <v>2</v>
      </c>
      <c r="F20">
        <v>2</v>
      </c>
      <c r="G20">
        <v>1</v>
      </c>
      <c r="H20">
        <v>1</v>
      </c>
      <c r="I20">
        <v>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83880-E6E1-4E47-9D1E-D823EBAFE5A9}">
  <dimension ref="I2:L2"/>
  <sheetViews>
    <sheetView tabSelected="1" workbookViewId="0">
      <selection activeCell="R1" sqref="R1"/>
    </sheetView>
  </sheetViews>
  <sheetFormatPr defaultRowHeight="14.4" x14ac:dyDescent="0.3"/>
  <sheetData>
    <row r="2" spans="9:12" ht="25.8" x14ac:dyDescent="0.5">
      <c r="I2" s="17"/>
      <c r="J2" s="18" t="s">
        <v>130</v>
      </c>
      <c r="K2" s="17"/>
      <c r="L2" s="1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B7527-F5E4-4A81-9436-2AF3BCDD1552}">
  <dimension ref="A2:R65"/>
  <sheetViews>
    <sheetView zoomScale="96" zoomScaleNormal="96" workbookViewId="0">
      <selection activeCell="Q5" sqref="Q5"/>
    </sheetView>
  </sheetViews>
  <sheetFormatPr defaultRowHeight="14.4" x14ac:dyDescent="0.3"/>
  <cols>
    <col min="1" max="1" width="12.88671875" customWidth="1"/>
    <col min="2" max="2" width="13.21875" customWidth="1"/>
    <col min="3" max="3" width="11.109375" customWidth="1"/>
    <col min="4" max="4" width="14.33203125" customWidth="1"/>
    <col min="5" max="5" width="20.5546875" customWidth="1"/>
    <col min="6" max="6" width="15.21875" customWidth="1"/>
    <col min="7" max="7" width="12.44140625" customWidth="1"/>
    <col min="8" max="8" width="22.6640625" customWidth="1"/>
    <col min="9" max="9" width="16.88671875" customWidth="1"/>
    <col min="11" max="11" width="43.77734375" customWidth="1"/>
    <col min="12" max="12" width="10.77734375" customWidth="1"/>
    <col min="18" max="18" width="13.21875" customWidth="1"/>
  </cols>
  <sheetData>
    <row r="2" spans="1:18" ht="25.2" x14ac:dyDescent="0.6">
      <c r="E2" s="23" t="s">
        <v>109</v>
      </c>
      <c r="F2" s="23"/>
      <c r="G2" s="23"/>
      <c r="H2" s="23"/>
    </row>
    <row r="3" spans="1:18" ht="18" x14ac:dyDescent="0.3">
      <c r="A3" s="10" t="s">
        <v>0</v>
      </c>
      <c r="B3" s="11" t="s">
        <v>1</v>
      </c>
      <c r="C3" s="11" t="s">
        <v>2</v>
      </c>
      <c r="D3" s="11" t="s">
        <v>3</v>
      </c>
      <c r="E3" s="11" t="s">
        <v>110</v>
      </c>
      <c r="F3" s="11" t="s">
        <v>111</v>
      </c>
      <c r="G3" s="11" t="s">
        <v>4</v>
      </c>
      <c r="H3" s="11" t="s">
        <v>5</v>
      </c>
      <c r="I3" s="12" t="s">
        <v>6</v>
      </c>
    </row>
    <row r="4" spans="1:18" ht="17.399999999999999" x14ac:dyDescent="0.45">
      <c r="A4" s="4" t="s">
        <v>7</v>
      </c>
      <c r="B4" s="2" t="s">
        <v>8</v>
      </c>
      <c r="C4" s="2" t="s">
        <v>9</v>
      </c>
      <c r="D4" s="2" t="s">
        <v>10</v>
      </c>
      <c r="E4" s="3">
        <v>0.25</v>
      </c>
      <c r="F4" s="3">
        <v>0.375</v>
      </c>
      <c r="G4" s="2" t="s">
        <v>11</v>
      </c>
      <c r="H4" s="2" t="s">
        <v>12</v>
      </c>
      <c r="I4" s="5">
        <v>0</v>
      </c>
      <c r="K4" s="13" t="s">
        <v>131</v>
      </c>
      <c r="L4" t="s">
        <v>113</v>
      </c>
      <c r="O4" s="14" t="s">
        <v>117</v>
      </c>
      <c r="P4" s="14" t="s">
        <v>118</v>
      </c>
      <c r="Q4" s="14" t="s">
        <v>119</v>
      </c>
      <c r="R4" s="14" t="s">
        <v>120</v>
      </c>
    </row>
    <row r="5" spans="1:18" x14ac:dyDescent="0.3">
      <c r="A5" s="4" t="s">
        <v>13</v>
      </c>
      <c r="B5" s="2" t="s">
        <v>14</v>
      </c>
      <c r="C5" s="2" t="s">
        <v>15</v>
      </c>
      <c r="D5" s="2" t="s">
        <v>16</v>
      </c>
      <c r="E5" s="3">
        <v>0.29166666666666702</v>
      </c>
      <c r="F5" s="3">
        <v>0.38194444444444442</v>
      </c>
      <c r="G5" s="2" t="s">
        <v>17</v>
      </c>
      <c r="H5" s="2" t="s">
        <v>18</v>
      </c>
      <c r="I5" s="5">
        <v>25</v>
      </c>
      <c r="K5" t="s">
        <v>122</v>
      </c>
      <c r="L5">
        <f>SUMIF(B2:B51,"Delta",I2:I51)</f>
        <v>75</v>
      </c>
      <c r="O5" t="str">
        <f>IF(I4&gt;0,"Delayed","On Time")</f>
        <v>On Time</v>
      </c>
      <c r="P5" t="str">
        <f>IF(I3=0,"On Time",IF(I3&lt;=15,"Slight Delay","Big Delay"))</f>
        <v>Big Delay</v>
      </c>
      <c r="Q5" t="str">
        <f>IF(AND(I3="Delta",I3&gt;0),"Delayed Delta","OK")</f>
        <v>OK</v>
      </c>
      <c r="R5" t="str">
        <f>IF(OR(I3&gt;30,I3="Cancelled"),"Problem Flight","OK")</f>
        <v>Problem Flight</v>
      </c>
    </row>
    <row r="6" spans="1:18" x14ac:dyDescent="0.3">
      <c r="A6" s="4" t="s">
        <v>19</v>
      </c>
      <c r="B6" s="2" t="s">
        <v>20</v>
      </c>
      <c r="C6" s="2" t="s">
        <v>21</v>
      </c>
      <c r="D6" s="2" t="s">
        <v>9</v>
      </c>
      <c r="E6" s="3">
        <v>0.33333333333333298</v>
      </c>
      <c r="F6" s="3">
        <v>0.6875</v>
      </c>
      <c r="G6" s="2" t="s">
        <v>22</v>
      </c>
      <c r="H6" s="2" t="s">
        <v>12</v>
      </c>
      <c r="I6" s="5">
        <v>0</v>
      </c>
      <c r="K6" t="s">
        <v>121</v>
      </c>
      <c r="L6">
        <f>SUMIFS(I2:I51,B2:B51,"American",C2:C51,"LAX")</f>
        <v>30</v>
      </c>
    </row>
    <row r="7" spans="1:18" x14ac:dyDescent="0.3">
      <c r="A7" s="4" t="s">
        <v>23</v>
      </c>
      <c r="B7" s="2" t="s">
        <v>24</v>
      </c>
      <c r="C7" s="2" t="s">
        <v>25</v>
      </c>
      <c r="D7" s="2" t="s">
        <v>26</v>
      </c>
      <c r="E7" s="3">
        <v>0.375</v>
      </c>
      <c r="F7" s="3">
        <v>0.41666666666666669</v>
      </c>
      <c r="G7" s="2" t="s">
        <v>27</v>
      </c>
      <c r="H7" s="2" t="s">
        <v>12</v>
      </c>
      <c r="I7" s="5">
        <v>0</v>
      </c>
      <c r="K7" t="s">
        <v>123</v>
      </c>
      <c r="L7">
        <f>COUNTIF(H2:H51,"Delayed")</f>
        <v>12</v>
      </c>
    </row>
    <row r="8" spans="1:18" x14ac:dyDescent="0.3">
      <c r="A8" s="4" t="s">
        <v>28</v>
      </c>
      <c r="B8" s="2" t="s">
        <v>29</v>
      </c>
      <c r="C8" s="2" t="s">
        <v>30</v>
      </c>
      <c r="D8" s="2" t="s">
        <v>31</v>
      </c>
      <c r="E8" s="3">
        <v>0.41666666666666702</v>
      </c>
      <c r="F8" s="3">
        <v>0.59375</v>
      </c>
      <c r="G8" s="2" t="s">
        <v>32</v>
      </c>
      <c r="H8" s="2" t="s">
        <v>33</v>
      </c>
      <c r="I8" s="5" t="s">
        <v>34</v>
      </c>
      <c r="K8" t="s">
        <v>124</v>
      </c>
      <c r="L8">
        <f>COUNTIFS(B2:B51,"American",H2:H51,"Cancelled")</f>
        <v>1</v>
      </c>
    </row>
    <row r="9" spans="1:18" x14ac:dyDescent="0.3">
      <c r="A9" s="4" t="s">
        <v>35</v>
      </c>
      <c r="B9" s="2" t="s">
        <v>8</v>
      </c>
      <c r="C9" s="2" t="s">
        <v>10</v>
      </c>
      <c r="D9" s="2" t="s">
        <v>36</v>
      </c>
      <c r="E9" s="3">
        <v>0.45833333333333298</v>
      </c>
      <c r="F9" s="3">
        <v>0.60416666666666663</v>
      </c>
      <c r="G9" s="2" t="s">
        <v>37</v>
      </c>
      <c r="H9" s="2" t="s">
        <v>12</v>
      </c>
      <c r="I9" s="5">
        <v>0</v>
      </c>
    </row>
    <row r="10" spans="1:18" x14ac:dyDescent="0.3">
      <c r="A10" s="4" t="s">
        <v>38</v>
      </c>
      <c r="B10" s="2" t="s">
        <v>14</v>
      </c>
      <c r="C10" s="2" t="s">
        <v>9</v>
      </c>
      <c r="D10" s="2" t="s">
        <v>15</v>
      </c>
      <c r="E10" s="3">
        <v>0.5</v>
      </c>
      <c r="F10" s="3">
        <v>0.65625</v>
      </c>
      <c r="G10" s="2" t="s">
        <v>37</v>
      </c>
      <c r="H10" s="2" t="s">
        <v>18</v>
      </c>
      <c r="I10" s="5">
        <v>35</v>
      </c>
    </row>
    <row r="11" spans="1:18" ht="17.399999999999999" x14ac:dyDescent="0.45">
      <c r="A11" s="4" t="s">
        <v>39</v>
      </c>
      <c r="B11" s="2" t="s">
        <v>20</v>
      </c>
      <c r="C11" s="2" t="s">
        <v>16</v>
      </c>
      <c r="D11" s="2" t="s">
        <v>40</v>
      </c>
      <c r="E11" s="3">
        <v>0.54166666666666696</v>
      </c>
      <c r="F11" s="3">
        <v>0.65625</v>
      </c>
      <c r="G11" s="2" t="s">
        <v>41</v>
      </c>
      <c r="H11" s="2" t="s">
        <v>12</v>
      </c>
      <c r="I11" s="5">
        <v>0</v>
      </c>
      <c r="K11" s="14" t="s">
        <v>112</v>
      </c>
      <c r="L11" s="14" t="s">
        <v>114</v>
      </c>
      <c r="M11" s="14" t="s">
        <v>116</v>
      </c>
    </row>
    <row r="12" spans="1:18" x14ac:dyDescent="0.3">
      <c r="A12" s="4" t="s">
        <v>42</v>
      </c>
      <c r="B12" s="2" t="s">
        <v>24</v>
      </c>
      <c r="C12" s="2" t="s">
        <v>43</v>
      </c>
      <c r="D12" s="2" t="s">
        <v>44</v>
      </c>
      <c r="E12" s="3">
        <v>0.58333333333333304</v>
      </c>
      <c r="F12" s="3">
        <v>0.66666666666666663</v>
      </c>
      <c r="G12" s="2" t="s">
        <v>27</v>
      </c>
      <c r="H12" s="2" t="s">
        <v>12</v>
      </c>
      <c r="I12" s="5">
        <v>0</v>
      </c>
      <c r="K12" s="19">
        <f>SUM(E4,F4)</f>
        <v>0.625</v>
      </c>
      <c r="L12">
        <f>AVERAGE(I5,I10)</f>
        <v>30</v>
      </c>
      <c r="M12">
        <f>COUNT(I4:I50)</f>
        <v>44</v>
      </c>
    </row>
    <row r="13" spans="1:18" x14ac:dyDescent="0.3">
      <c r="A13" s="4" t="s">
        <v>45</v>
      </c>
      <c r="B13" s="2" t="s">
        <v>29</v>
      </c>
      <c r="C13" s="2" t="s">
        <v>46</v>
      </c>
      <c r="D13" s="2" t="s">
        <v>9</v>
      </c>
      <c r="E13" s="3">
        <v>0.625</v>
      </c>
      <c r="F13" s="3">
        <v>0.8125</v>
      </c>
      <c r="G13" s="2" t="s">
        <v>47</v>
      </c>
      <c r="H13" s="2" t="s">
        <v>18</v>
      </c>
      <c r="I13" s="5">
        <v>10</v>
      </c>
      <c r="K13" s="19"/>
    </row>
    <row r="14" spans="1:18" x14ac:dyDescent="0.3">
      <c r="A14" s="4" t="s">
        <v>48</v>
      </c>
      <c r="B14" s="2" t="s">
        <v>8</v>
      </c>
      <c r="C14" s="2" t="s">
        <v>49</v>
      </c>
      <c r="D14" s="2" t="s">
        <v>50</v>
      </c>
      <c r="E14" s="3">
        <v>0.66666666666666696</v>
      </c>
      <c r="F14" s="3">
        <v>0.83333333333333337</v>
      </c>
      <c r="G14" s="2" t="s">
        <v>51</v>
      </c>
      <c r="H14" s="2" t="s">
        <v>12</v>
      </c>
      <c r="I14" s="5">
        <v>0</v>
      </c>
    </row>
    <row r="15" spans="1:18" x14ac:dyDescent="0.3">
      <c r="A15" s="4" t="s">
        <v>52</v>
      </c>
      <c r="B15" s="2" t="s">
        <v>14</v>
      </c>
      <c r="C15" s="2" t="s">
        <v>53</v>
      </c>
      <c r="D15" s="2" t="s">
        <v>15</v>
      </c>
      <c r="E15" s="3">
        <v>0.70833333333333304</v>
      </c>
      <c r="F15" s="3">
        <v>0.34722222222222221</v>
      </c>
      <c r="G15" s="2" t="s">
        <v>54</v>
      </c>
      <c r="H15" s="2" t="s">
        <v>12</v>
      </c>
      <c r="I15" s="5">
        <v>0</v>
      </c>
    </row>
    <row r="16" spans="1:18" x14ac:dyDescent="0.3">
      <c r="A16" s="4" t="s">
        <v>55</v>
      </c>
      <c r="B16" s="2" t="s">
        <v>20</v>
      </c>
      <c r="C16" s="2" t="s">
        <v>56</v>
      </c>
      <c r="D16" s="2" t="s">
        <v>10</v>
      </c>
      <c r="E16" s="3">
        <v>0.75</v>
      </c>
      <c r="F16" s="3">
        <v>0.4513888888888889</v>
      </c>
      <c r="G16" s="2" t="s">
        <v>22</v>
      </c>
      <c r="H16" s="2" t="s">
        <v>18</v>
      </c>
      <c r="I16" s="5">
        <v>20</v>
      </c>
    </row>
    <row r="17" spans="1:9" x14ac:dyDescent="0.3">
      <c r="A17" s="4" t="s">
        <v>57</v>
      </c>
      <c r="B17" s="2" t="s">
        <v>24</v>
      </c>
      <c r="C17" s="2" t="s">
        <v>26</v>
      </c>
      <c r="D17" s="2" t="s">
        <v>25</v>
      </c>
      <c r="E17" s="3">
        <v>0.79166666666666696</v>
      </c>
      <c r="F17" s="3">
        <v>0.39583333333333331</v>
      </c>
      <c r="G17" s="2" t="s">
        <v>58</v>
      </c>
      <c r="H17" s="2" t="s">
        <v>12</v>
      </c>
      <c r="I17" s="5">
        <v>0</v>
      </c>
    </row>
    <row r="18" spans="1:9" x14ac:dyDescent="0.3">
      <c r="A18" s="4" t="s">
        <v>59</v>
      </c>
      <c r="B18" s="2" t="s">
        <v>29</v>
      </c>
      <c r="C18" s="2" t="s">
        <v>9</v>
      </c>
      <c r="D18" s="2" t="s">
        <v>30</v>
      </c>
      <c r="E18" s="3">
        <v>0.83333333333333304</v>
      </c>
      <c r="F18" s="3">
        <v>0.43402777777777779</v>
      </c>
      <c r="G18" s="2" t="s">
        <v>60</v>
      </c>
      <c r="H18" s="2" t="s">
        <v>12</v>
      </c>
      <c r="I18" s="5">
        <v>0</v>
      </c>
    </row>
    <row r="19" spans="1:9" x14ac:dyDescent="0.3">
      <c r="A19" s="4" t="s">
        <v>61</v>
      </c>
      <c r="B19" s="2" t="s">
        <v>8</v>
      </c>
      <c r="C19" s="2" t="s">
        <v>16</v>
      </c>
      <c r="D19" s="2" t="s">
        <v>53</v>
      </c>
      <c r="E19" s="3">
        <v>0.875</v>
      </c>
      <c r="F19" s="3">
        <v>0.56944444444444442</v>
      </c>
      <c r="G19" s="2" t="s">
        <v>62</v>
      </c>
      <c r="H19" s="2" t="s">
        <v>33</v>
      </c>
      <c r="I19" s="5" t="s">
        <v>34</v>
      </c>
    </row>
    <row r="20" spans="1:9" x14ac:dyDescent="0.3">
      <c r="A20" s="4" t="s">
        <v>63</v>
      </c>
      <c r="B20" s="2" t="s">
        <v>14</v>
      </c>
      <c r="C20" s="2" t="s">
        <v>10</v>
      </c>
      <c r="D20" s="2" t="s">
        <v>64</v>
      </c>
      <c r="E20" s="3">
        <v>0.91666666666666696</v>
      </c>
      <c r="F20" s="3">
        <v>0.55208333333333337</v>
      </c>
      <c r="G20" s="2" t="s">
        <v>65</v>
      </c>
      <c r="H20" s="2" t="s">
        <v>12</v>
      </c>
      <c r="I20" s="5">
        <v>0</v>
      </c>
    </row>
    <row r="21" spans="1:9" x14ac:dyDescent="0.3">
      <c r="A21" s="4" t="s">
        <v>66</v>
      </c>
      <c r="B21" s="2" t="s">
        <v>20</v>
      </c>
      <c r="C21" s="2" t="s">
        <v>40</v>
      </c>
      <c r="D21" s="2" t="s">
        <v>16</v>
      </c>
      <c r="E21" s="3">
        <v>0.95833333333333304</v>
      </c>
      <c r="F21" s="3">
        <v>0.67708333333333337</v>
      </c>
      <c r="G21" s="2" t="s">
        <v>41</v>
      </c>
      <c r="H21" s="2" t="s">
        <v>18</v>
      </c>
      <c r="I21" s="5">
        <v>15</v>
      </c>
    </row>
    <row r="22" spans="1:9" x14ac:dyDescent="0.3">
      <c r="A22" s="4" t="s">
        <v>67</v>
      </c>
      <c r="B22" s="2" t="s">
        <v>24</v>
      </c>
      <c r="C22" s="2" t="s">
        <v>44</v>
      </c>
      <c r="D22" s="2" t="s">
        <v>43</v>
      </c>
      <c r="E22" s="3">
        <v>1</v>
      </c>
      <c r="F22" s="3">
        <v>0.65972222222222221</v>
      </c>
      <c r="G22" s="2" t="s">
        <v>27</v>
      </c>
      <c r="H22" s="2" t="s">
        <v>12</v>
      </c>
      <c r="I22" s="5">
        <v>0</v>
      </c>
    </row>
    <row r="23" spans="1:9" x14ac:dyDescent="0.3">
      <c r="A23" s="4" t="s">
        <v>68</v>
      </c>
      <c r="B23" s="2" t="s">
        <v>29</v>
      </c>
      <c r="C23" s="2" t="s">
        <v>9</v>
      </c>
      <c r="D23" s="2" t="s">
        <v>10</v>
      </c>
      <c r="E23" s="3">
        <v>1.0416666666666701</v>
      </c>
      <c r="F23" s="3">
        <v>0.77083333333333337</v>
      </c>
      <c r="G23" s="2" t="s">
        <v>11</v>
      </c>
      <c r="H23" s="2" t="s">
        <v>18</v>
      </c>
      <c r="I23" s="5">
        <v>45</v>
      </c>
    </row>
    <row r="24" spans="1:9" x14ac:dyDescent="0.3">
      <c r="A24" s="4" t="s">
        <v>69</v>
      </c>
      <c r="B24" s="2" t="s">
        <v>8</v>
      </c>
      <c r="C24" s="2" t="s">
        <v>50</v>
      </c>
      <c r="D24" s="2" t="s">
        <v>70</v>
      </c>
      <c r="E24" s="3">
        <v>1.0833333333333299</v>
      </c>
      <c r="F24" s="3">
        <v>0.84027777777777779</v>
      </c>
      <c r="G24" s="2" t="s">
        <v>71</v>
      </c>
      <c r="H24" s="2" t="s">
        <v>12</v>
      </c>
      <c r="I24" s="5">
        <v>0</v>
      </c>
    </row>
    <row r="25" spans="1:9" x14ac:dyDescent="0.3">
      <c r="A25" s="4" t="s">
        <v>72</v>
      </c>
      <c r="B25" s="2" t="s">
        <v>14</v>
      </c>
      <c r="C25" s="2" t="s">
        <v>15</v>
      </c>
      <c r="D25" s="2" t="s">
        <v>31</v>
      </c>
      <c r="E25" s="3">
        <v>1.125</v>
      </c>
      <c r="F25" s="3">
        <v>0.77083333333333337</v>
      </c>
      <c r="G25" s="2" t="s">
        <v>65</v>
      </c>
      <c r="H25" s="2" t="s">
        <v>12</v>
      </c>
      <c r="I25" s="5">
        <v>0</v>
      </c>
    </row>
    <row r="26" spans="1:9" x14ac:dyDescent="0.3">
      <c r="A26" s="4" t="s">
        <v>73</v>
      </c>
      <c r="B26" s="2" t="s">
        <v>20</v>
      </c>
      <c r="C26" s="2" t="s">
        <v>21</v>
      </c>
      <c r="D26" s="2" t="s">
        <v>36</v>
      </c>
      <c r="E26" s="3">
        <v>1.1666666666666701</v>
      </c>
      <c r="F26" s="3">
        <v>0.33333333333333331</v>
      </c>
      <c r="G26" s="2" t="s">
        <v>41</v>
      </c>
      <c r="H26" s="2" t="s">
        <v>12</v>
      </c>
      <c r="I26" s="5">
        <v>0</v>
      </c>
    </row>
    <row r="27" spans="1:9" x14ac:dyDescent="0.3">
      <c r="A27" s="4" t="s">
        <v>74</v>
      </c>
      <c r="B27" s="2" t="s">
        <v>24</v>
      </c>
      <c r="C27" s="2" t="s">
        <v>25</v>
      </c>
      <c r="D27" s="2" t="s">
        <v>75</v>
      </c>
      <c r="E27" s="3">
        <v>1.2083333333333299</v>
      </c>
      <c r="F27" s="3">
        <v>0.35416666666666669</v>
      </c>
      <c r="G27" s="2" t="s">
        <v>65</v>
      </c>
      <c r="H27" s="2" t="s">
        <v>12</v>
      </c>
      <c r="I27" s="5">
        <v>0</v>
      </c>
    </row>
    <row r="28" spans="1:9" x14ac:dyDescent="0.3">
      <c r="A28" s="4" t="s">
        <v>76</v>
      </c>
      <c r="B28" s="2" t="s">
        <v>29</v>
      </c>
      <c r="C28" s="2" t="s">
        <v>30</v>
      </c>
      <c r="D28" s="2" t="s">
        <v>46</v>
      </c>
      <c r="E28" s="3">
        <v>1.25</v>
      </c>
      <c r="F28" s="3">
        <v>0.52083333333333337</v>
      </c>
      <c r="G28" s="2" t="s">
        <v>77</v>
      </c>
      <c r="H28" s="2" t="s">
        <v>12</v>
      </c>
      <c r="I28" s="5">
        <v>0</v>
      </c>
    </row>
    <row r="29" spans="1:9" x14ac:dyDescent="0.3">
      <c r="A29" s="4" t="s">
        <v>78</v>
      </c>
      <c r="B29" s="2" t="s">
        <v>8</v>
      </c>
      <c r="C29" s="2" t="s">
        <v>10</v>
      </c>
      <c r="D29" s="2" t="s">
        <v>16</v>
      </c>
      <c r="E29" s="3">
        <v>1.2916666666666701</v>
      </c>
      <c r="F29" s="3">
        <v>0.625</v>
      </c>
      <c r="G29" s="2" t="s">
        <v>79</v>
      </c>
      <c r="H29" s="2" t="s">
        <v>18</v>
      </c>
      <c r="I29" s="5">
        <v>30</v>
      </c>
    </row>
    <row r="30" spans="1:9" x14ac:dyDescent="0.3">
      <c r="A30" s="4" t="s">
        <v>80</v>
      </c>
      <c r="B30" s="2" t="s">
        <v>14</v>
      </c>
      <c r="C30" s="2" t="s">
        <v>9</v>
      </c>
      <c r="D30" s="2" t="s">
        <v>53</v>
      </c>
      <c r="E30" s="3">
        <v>1.3333333333333299</v>
      </c>
      <c r="F30" s="3">
        <v>0.57291666666666663</v>
      </c>
      <c r="G30" s="2" t="s">
        <v>81</v>
      </c>
      <c r="H30" s="2" t="s">
        <v>12</v>
      </c>
      <c r="I30" s="5">
        <v>0</v>
      </c>
    </row>
    <row r="31" spans="1:9" x14ac:dyDescent="0.3">
      <c r="A31" s="4" t="s">
        <v>82</v>
      </c>
      <c r="B31" s="2" t="s">
        <v>20</v>
      </c>
      <c r="C31" s="2" t="s">
        <v>16</v>
      </c>
      <c r="D31" s="2" t="s">
        <v>83</v>
      </c>
      <c r="E31" s="3">
        <v>1.375</v>
      </c>
      <c r="F31" s="3">
        <v>0.61111111111111116</v>
      </c>
      <c r="G31" s="2" t="s">
        <v>37</v>
      </c>
      <c r="H31" s="2" t="s">
        <v>18</v>
      </c>
      <c r="I31" s="5">
        <v>20</v>
      </c>
    </row>
    <row r="32" spans="1:9" x14ac:dyDescent="0.3">
      <c r="A32" s="4" t="s">
        <v>84</v>
      </c>
      <c r="B32" s="2" t="s">
        <v>24</v>
      </c>
      <c r="C32" s="2" t="s">
        <v>43</v>
      </c>
      <c r="D32" s="2" t="s">
        <v>40</v>
      </c>
      <c r="E32" s="3">
        <v>1.4166666666666701</v>
      </c>
      <c r="F32" s="3">
        <v>0.64583333333333337</v>
      </c>
      <c r="G32" s="2" t="s">
        <v>17</v>
      </c>
      <c r="H32" s="2" t="s">
        <v>12</v>
      </c>
      <c r="I32" s="5">
        <v>0</v>
      </c>
    </row>
    <row r="33" spans="1:9" x14ac:dyDescent="0.3">
      <c r="A33" s="4" t="s">
        <v>85</v>
      </c>
      <c r="B33" s="2" t="s">
        <v>29</v>
      </c>
      <c r="C33" s="2" t="s">
        <v>46</v>
      </c>
      <c r="D33" s="2" t="s">
        <v>30</v>
      </c>
      <c r="E33" s="3">
        <v>1.4583333333333299</v>
      </c>
      <c r="F33" s="3">
        <v>0.77083333333333337</v>
      </c>
      <c r="G33" s="2" t="s">
        <v>77</v>
      </c>
      <c r="H33" s="2" t="s">
        <v>12</v>
      </c>
      <c r="I33" s="5">
        <v>0</v>
      </c>
    </row>
    <row r="34" spans="1:9" x14ac:dyDescent="0.3">
      <c r="A34" s="4" t="s">
        <v>86</v>
      </c>
      <c r="B34" s="2" t="s">
        <v>8</v>
      </c>
      <c r="C34" s="2" t="s">
        <v>49</v>
      </c>
      <c r="D34" s="2" t="s">
        <v>10</v>
      </c>
      <c r="E34" s="3">
        <v>1.5</v>
      </c>
      <c r="F34" s="3">
        <v>0.78125</v>
      </c>
      <c r="G34" s="2" t="s">
        <v>22</v>
      </c>
      <c r="H34" s="2" t="s">
        <v>18</v>
      </c>
      <c r="I34" s="5">
        <v>50</v>
      </c>
    </row>
    <row r="35" spans="1:9" x14ac:dyDescent="0.3">
      <c r="A35" s="4" t="s">
        <v>87</v>
      </c>
      <c r="B35" s="2" t="s">
        <v>14</v>
      </c>
      <c r="C35" s="2" t="s">
        <v>53</v>
      </c>
      <c r="D35" s="2" t="s">
        <v>9</v>
      </c>
      <c r="E35" s="3">
        <v>1.5416666666666701</v>
      </c>
      <c r="F35" s="3">
        <v>0.82291666666666663</v>
      </c>
      <c r="G35" s="2" t="s">
        <v>47</v>
      </c>
      <c r="H35" s="2" t="s">
        <v>12</v>
      </c>
      <c r="I35" s="5">
        <v>0</v>
      </c>
    </row>
    <row r="36" spans="1:9" x14ac:dyDescent="0.3">
      <c r="A36" s="4" t="s">
        <v>88</v>
      </c>
      <c r="B36" s="2" t="s">
        <v>20</v>
      </c>
      <c r="C36" s="2" t="s">
        <v>56</v>
      </c>
      <c r="D36" s="2" t="s">
        <v>16</v>
      </c>
      <c r="E36" s="3">
        <v>1.5833333333333299</v>
      </c>
      <c r="F36" s="3">
        <v>0.33333333333333331</v>
      </c>
      <c r="G36" s="2" t="s">
        <v>54</v>
      </c>
      <c r="H36" s="2" t="s">
        <v>12</v>
      </c>
      <c r="I36" s="5">
        <v>0</v>
      </c>
    </row>
    <row r="37" spans="1:9" x14ac:dyDescent="0.3">
      <c r="A37" s="4" t="s">
        <v>89</v>
      </c>
      <c r="B37" s="2" t="s">
        <v>24</v>
      </c>
      <c r="C37" s="2" t="s">
        <v>26</v>
      </c>
      <c r="D37" s="2" t="s">
        <v>15</v>
      </c>
      <c r="E37" s="3">
        <v>1.625</v>
      </c>
      <c r="F37" s="3">
        <v>0.38541666666666669</v>
      </c>
      <c r="G37" s="2" t="s">
        <v>54</v>
      </c>
      <c r="H37" s="2" t="s">
        <v>18</v>
      </c>
      <c r="I37" s="5">
        <v>20</v>
      </c>
    </row>
    <row r="38" spans="1:9" x14ac:dyDescent="0.3">
      <c r="A38" s="4" t="s">
        <v>90</v>
      </c>
      <c r="B38" s="2" t="s">
        <v>29</v>
      </c>
      <c r="C38" s="2" t="s">
        <v>9</v>
      </c>
      <c r="D38" s="2" t="s">
        <v>31</v>
      </c>
      <c r="E38" s="3">
        <v>1.6666666666666701</v>
      </c>
      <c r="F38" s="3">
        <v>0.47916666666666669</v>
      </c>
      <c r="G38" s="2" t="s">
        <v>47</v>
      </c>
      <c r="H38" s="2" t="s">
        <v>12</v>
      </c>
      <c r="I38" s="5">
        <v>0</v>
      </c>
    </row>
    <row r="39" spans="1:9" x14ac:dyDescent="0.3">
      <c r="A39" s="4" t="s">
        <v>91</v>
      </c>
      <c r="B39" s="2" t="s">
        <v>8</v>
      </c>
      <c r="C39" s="2" t="s">
        <v>16</v>
      </c>
      <c r="D39" s="2" t="s">
        <v>44</v>
      </c>
      <c r="E39" s="3">
        <v>1.7083333333333299</v>
      </c>
      <c r="F39" s="3">
        <v>0.47916666666666669</v>
      </c>
      <c r="G39" s="2" t="s">
        <v>77</v>
      </c>
      <c r="H39" s="2" t="s">
        <v>12</v>
      </c>
      <c r="I39" s="5">
        <v>0</v>
      </c>
    </row>
    <row r="40" spans="1:9" x14ac:dyDescent="0.3">
      <c r="A40" s="4" t="s">
        <v>92</v>
      </c>
      <c r="B40" s="2" t="s">
        <v>14</v>
      </c>
      <c r="C40" s="2" t="s">
        <v>10</v>
      </c>
      <c r="D40" s="2" t="s">
        <v>40</v>
      </c>
      <c r="E40" s="3">
        <v>1.75</v>
      </c>
      <c r="F40" s="3">
        <v>0.5625</v>
      </c>
      <c r="G40" s="2" t="s">
        <v>37</v>
      </c>
      <c r="H40" s="2" t="s">
        <v>18</v>
      </c>
      <c r="I40" s="5">
        <v>15</v>
      </c>
    </row>
    <row r="41" spans="1:9" x14ac:dyDescent="0.3">
      <c r="A41" s="4" t="s">
        <v>93</v>
      </c>
      <c r="B41" s="2" t="s">
        <v>20</v>
      </c>
      <c r="C41" s="2" t="s">
        <v>40</v>
      </c>
      <c r="D41" s="2" t="s">
        <v>21</v>
      </c>
      <c r="E41" s="3">
        <v>1.7916666666666701</v>
      </c>
      <c r="F41" s="3">
        <v>0.59027777777777779</v>
      </c>
      <c r="G41" s="2" t="s">
        <v>65</v>
      </c>
      <c r="H41" s="2" t="s">
        <v>12</v>
      </c>
      <c r="I41" s="5">
        <v>0</v>
      </c>
    </row>
    <row r="42" spans="1:9" x14ac:dyDescent="0.3">
      <c r="A42" s="4" t="s">
        <v>94</v>
      </c>
      <c r="B42" s="2" t="s">
        <v>24</v>
      </c>
      <c r="C42" s="2" t="s">
        <v>44</v>
      </c>
      <c r="D42" s="2" t="s">
        <v>64</v>
      </c>
      <c r="E42" s="3">
        <v>1.8333333333333299</v>
      </c>
      <c r="F42" s="3">
        <v>0.63888888888888884</v>
      </c>
      <c r="G42" s="2" t="s">
        <v>95</v>
      </c>
      <c r="H42" s="2" t="s">
        <v>12</v>
      </c>
      <c r="I42" s="5">
        <v>0</v>
      </c>
    </row>
    <row r="43" spans="1:9" x14ac:dyDescent="0.3">
      <c r="A43" s="4" t="s">
        <v>96</v>
      </c>
      <c r="B43" s="2" t="s">
        <v>29</v>
      </c>
      <c r="C43" s="2" t="s">
        <v>9</v>
      </c>
      <c r="D43" s="2" t="s">
        <v>15</v>
      </c>
      <c r="E43" s="3">
        <v>1.875</v>
      </c>
      <c r="F43" s="3">
        <v>0.71527777777777779</v>
      </c>
      <c r="G43" s="2" t="s">
        <v>97</v>
      </c>
      <c r="H43" s="2" t="s">
        <v>33</v>
      </c>
      <c r="I43" s="5" t="s">
        <v>34</v>
      </c>
    </row>
    <row r="44" spans="1:9" x14ac:dyDescent="0.3">
      <c r="A44" s="4" t="s">
        <v>98</v>
      </c>
      <c r="B44" s="2" t="s">
        <v>8</v>
      </c>
      <c r="C44" s="2" t="s">
        <v>50</v>
      </c>
      <c r="D44" s="2" t="s">
        <v>53</v>
      </c>
      <c r="E44" s="3">
        <v>1.9166666666666701</v>
      </c>
      <c r="F44" s="3">
        <v>0.75</v>
      </c>
      <c r="G44" s="2" t="s">
        <v>51</v>
      </c>
      <c r="H44" s="2" t="s">
        <v>12</v>
      </c>
      <c r="I44" s="5">
        <v>0</v>
      </c>
    </row>
    <row r="45" spans="1:9" x14ac:dyDescent="0.3">
      <c r="A45" s="4" t="s">
        <v>99</v>
      </c>
      <c r="B45" s="2" t="s">
        <v>14</v>
      </c>
      <c r="C45" s="2" t="s">
        <v>15</v>
      </c>
      <c r="D45" s="2" t="s">
        <v>100</v>
      </c>
      <c r="E45" s="3">
        <v>1.9583333333333299</v>
      </c>
      <c r="F45" s="3">
        <v>0.78125</v>
      </c>
      <c r="G45" s="2" t="s">
        <v>101</v>
      </c>
      <c r="H45" s="2" t="s">
        <v>12</v>
      </c>
      <c r="I45" s="5">
        <v>0</v>
      </c>
    </row>
    <row r="46" spans="1:9" x14ac:dyDescent="0.3">
      <c r="A46" s="4" t="s">
        <v>102</v>
      </c>
      <c r="B46" s="2" t="s">
        <v>20</v>
      </c>
      <c r="C46" s="2" t="s">
        <v>21</v>
      </c>
      <c r="D46" s="2" t="s">
        <v>10</v>
      </c>
      <c r="E46" s="3">
        <v>2</v>
      </c>
      <c r="F46" s="3">
        <v>0.3125</v>
      </c>
      <c r="G46" s="2" t="s">
        <v>65</v>
      </c>
      <c r="H46" s="2" t="s">
        <v>12</v>
      </c>
      <c r="I46" s="5">
        <v>0</v>
      </c>
    </row>
    <row r="47" spans="1:9" x14ac:dyDescent="0.3">
      <c r="A47" s="4" t="s">
        <v>103</v>
      </c>
      <c r="B47" s="2" t="s">
        <v>24</v>
      </c>
      <c r="C47" s="2" t="s">
        <v>25</v>
      </c>
      <c r="D47" s="2" t="s">
        <v>104</v>
      </c>
      <c r="E47" s="3">
        <v>2.0416666666666701</v>
      </c>
      <c r="F47" s="3">
        <v>0.3611111111111111</v>
      </c>
      <c r="G47" s="2" t="s">
        <v>105</v>
      </c>
      <c r="H47" s="2" t="s">
        <v>12</v>
      </c>
      <c r="I47" s="5">
        <v>0</v>
      </c>
    </row>
    <row r="48" spans="1:9" x14ac:dyDescent="0.3">
      <c r="A48" s="4" t="s">
        <v>106</v>
      </c>
      <c r="B48" s="2" t="s">
        <v>29</v>
      </c>
      <c r="C48" s="2" t="s">
        <v>30</v>
      </c>
      <c r="D48" s="2" t="s">
        <v>9</v>
      </c>
      <c r="E48" s="3">
        <v>2.0833333333333299</v>
      </c>
      <c r="F48" s="3">
        <v>0.42708333333333331</v>
      </c>
      <c r="G48" s="2" t="s">
        <v>60</v>
      </c>
      <c r="H48" s="2" t="s">
        <v>18</v>
      </c>
      <c r="I48" s="5">
        <v>10</v>
      </c>
    </row>
    <row r="49" spans="1:9" x14ac:dyDescent="0.3">
      <c r="A49" s="4" t="s">
        <v>107</v>
      </c>
      <c r="B49" s="2" t="s">
        <v>8</v>
      </c>
      <c r="C49" s="2" t="s">
        <v>10</v>
      </c>
      <c r="D49" s="2" t="s">
        <v>21</v>
      </c>
      <c r="E49" s="3">
        <v>2.125</v>
      </c>
      <c r="F49" s="3">
        <v>0.49652777777777779</v>
      </c>
      <c r="G49" s="2" t="s">
        <v>65</v>
      </c>
      <c r="H49" s="2" t="s">
        <v>12</v>
      </c>
      <c r="I49" s="5">
        <v>0</v>
      </c>
    </row>
    <row r="50" spans="1:9" x14ac:dyDescent="0.3">
      <c r="A50" s="6" t="s">
        <v>108</v>
      </c>
      <c r="B50" s="7" t="s">
        <v>14</v>
      </c>
      <c r="C50" s="7" t="s">
        <v>9</v>
      </c>
      <c r="D50" s="7" t="s">
        <v>30</v>
      </c>
      <c r="E50" s="8">
        <v>2.1666666666666701</v>
      </c>
      <c r="F50" s="8">
        <v>0.5625</v>
      </c>
      <c r="G50" s="7" t="s">
        <v>60</v>
      </c>
      <c r="H50" s="7" t="s">
        <v>12</v>
      </c>
      <c r="I50" s="9">
        <v>0</v>
      </c>
    </row>
    <row r="52" spans="1:9" x14ac:dyDescent="0.3">
      <c r="A52" s="1"/>
    </row>
    <row r="54" spans="1:9" ht="25.2" x14ac:dyDescent="0.6">
      <c r="E54" s="23" t="s">
        <v>109</v>
      </c>
      <c r="F54" s="23"/>
      <c r="G54" s="23"/>
      <c r="H54" s="23"/>
    </row>
    <row r="55" spans="1:9" ht="18" x14ac:dyDescent="0.3">
      <c r="A55" s="10" t="s">
        <v>0</v>
      </c>
      <c r="B55" s="11" t="s">
        <v>1</v>
      </c>
      <c r="C55" s="11" t="s">
        <v>2</v>
      </c>
      <c r="D55" s="11" t="s">
        <v>3</v>
      </c>
      <c r="E55" s="11" t="s">
        <v>110</v>
      </c>
      <c r="F55" s="11" t="s">
        <v>111</v>
      </c>
      <c r="G55" s="11" t="s">
        <v>4</v>
      </c>
      <c r="H55" s="11" t="s">
        <v>5</v>
      </c>
      <c r="I55" s="12" t="s">
        <v>6</v>
      </c>
    </row>
    <row r="56" spans="1:9" x14ac:dyDescent="0.3">
      <c r="A56" s="4" t="s">
        <v>7</v>
      </c>
      <c r="B56" s="2" t="s">
        <v>8</v>
      </c>
      <c r="C56" s="2" t="s">
        <v>9</v>
      </c>
      <c r="D56" s="2" t="s">
        <v>10</v>
      </c>
      <c r="E56" s="3">
        <v>0.25</v>
      </c>
      <c r="F56" s="3">
        <v>0.375</v>
      </c>
      <c r="G56" s="2" t="s">
        <v>11</v>
      </c>
      <c r="H56" s="2" t="s">
        <v>12</v>
      </c>
      <c r="I56" s="5">
        <v>0</v>
      </c>
    </row>
    <row r="57" spans="1:9" x14ac:dyDescent="0.3">
      <c r="A57" s="4" t="s">
        <v>13</v>
      </c>
      <c r="B57" s="2" t="s">
        <v>14</v>
      </c>
      <c r="C57" s="2" t="s">
        <v>15</v>
      </c>
      <c r="D57" s="2" t="s">
        <v>16</v>
      </c>
      <c r="E57" s="3">
        <v>0.29166666666666702</v>
      </c>
      <c r="F57" s="3">
        <v>0.38194444444444442</v>
      </c>
      <c r="G57" s="2" t="s">
        <v>17</v>
      </c>
      <c r="H57" s="2" t="s">
        <v>18</v>
      </c>
      <c r="I57" s="5">
        <v>25</v>
      </c>
    </row>
    <row r="58" spans="1:9" x14ac:dyDescent="0.3">
      <c r="A58" s="4" t="s">
        <v>19</v>
      </c>
      <c r="B58" s="2" t="s">
        <v>20</v>
      </c>
      <c r="C58" s="2" t="s">
        <v>21</v>
      </c>
      <c r="D58" s="2" t="s">
        <v>9</v>
      </c>
      <c r="E58" s="3">
        <v>0.33333333333333298</v>
      </c>
      <c r="F58" s="3">
        <v>0.6875</v>
      </c>
      <c r="G58" s="2" t="s">
        <v>22</v>
      </c>
      <c r="H58" s="2" t="s">
        <v>12</v>
      </c>
      <c r="I58" s="5">
        <v>0</v>
      </c>
    </row>
    <row r="59" spans="1:9" x14ac:dyDescent="0.3">
      <c r="A59" s="4" t="s">
        <v>23</v>
      </c>
      <c r="B59" s="2" t="s">
        <v>24</v>
      </c>
      <c r="C59" s="2" t="s">
        <v>25</v>
      </c>
      <c r="D59" s="2" t="s">
        <v>26</v>
      </c>
      <c r="E59" s="3">
        <v>0.375</v>
      </c>
      <c r="F59" s="3">
        <v>0.41666666666666669</v>
      </c>
      <c r="G59" s="2" t="s">
        <v>27</v>
      </c>
      <c r="H59" s="2" t="s">
        <v>12</v>
      </c>
      <c r="I59" s="5">
        <v>0</v>
      </c>
    </row>
    <row r="61" spans="1:9" x14ac:dyDescent="0.3">
      <c r="C61" s="21" t="s">
        <v>113</v>
      </c>
      <c r="D61" s="13" t="s">
        <v>115</v>
      </c>
    </row>
    <row r="62" spans="1:9" x14ac:dyDescent="0.3">
      <c r="C62" s="20" t="s">
        <v>132</v>
      </c>
      <c r="D62" t="str">
        <f>VLOOKUP(A56,A55:I59,2,0)</f>
        <v>American</v>
      </c>
    </row>
    <row r="65" spans="3:4" x14ac:dyDescent="0.3">
      <c r="C65" t="s">
        <v>133</v>
      </c>
      <c r="D65" t="str">
        <f>HLOOKUP("Airline",A55:I59,4,0)</f>
        <v>United</v>
      </c>
    </row>
  </sheetData>
  <mergeCells count="2">
    <mergeCell ref="E2:H2"/>
    <mergeCell ref="E54:H54"/>
  </mergeCells>
  <phoneticPr fontId="5" type="noConversion"/>
  <conditionalFormatting sqref="H3:H51">
    <cfRule type="containsText" dxfId="2" priority="4" operator="containsText" text="Cancelled">
      <formula>NOT(ISERROR(SEARCH("Cancelled",H3)))</formula>
    </cfRule>
  </conditionalFormatting>
  <conditionalFormatting sqref="H55:H59">
    <cfRule type="containsText" dxfId="1" priority="1" operator="containsText" text="Cancelled">
      <formula>NOT(ISERROR(SEARCH("Cancelled",H55)))</formula>
    </cfRule>
  </conditionalFormatting>
  <conditionalFormatting sqref="I3:I50">
    <cfRule type="dataBar" priority="6">
      <dataBar>
        <cfvo type="min"/>
        <cfvo type="max"/>
        <color rgb="FF63C384"/>
      </dataBar>
      <extLst>
        <ext xmlns:x14="http://schemas.microsoft.com/office/spreadsheetml/2009/9/main" uri="{B025F937-C7B1-47D3-B67F-A62EFF666E3E}">
          <x14:id>{AD175AE1-6706-44C3-BA5A-DFF32B71EFFE}</x14:id>
        </ext>
      </extLst>
    </cfRule>
  </conditionalFormatting>
  <conditionalFormatting sqref="I4:I50">
    <cfRule type="dataBar" priority="5">
      <dataBar>
        <cfvo type="min"/>
        <cfvo type="max"/>
        <color rgb="FF00B050"/>
      </dataBar>
      <extLst>
        <ext xmlns:x14="http://schemas.microsoft.com/office/spreadsheetml/2009/9/main" uri="{B025F937-C7B1-47D3-B67F-A62EFF666E3E}">
          <x14:id>{C838788F-C118-4A17-BCEF-E3DF8661610C}</x14:id>
        </ext>
      </extLst>
    </cfRule>
  </conditionalFormatting>
  <conditionalFormatting sqref="I55:I59">
    <cfRule type="dataBar" priority="3">
      <dataBar>
        <cfvo type="min"/>
        <cfvo type="max"/>
        <color rgb="FF63C384"/>
      </dataBar>
      <extLst>
        <ext xmlns:x14="http://schemas.microsoft.com/office/spreadsheetml/2009/9/main" uri="{B025F937-C7B1-47D3-B67F-A62EFF666E3E}">
          <x14:id>{ED8A52DD-B5B1-44F9-876F-6C9DA71800F6}</x14:id>
        </ext>
      </extLst>
    </cfRule>
  </conditionalFormatting>
  <conditionalFormatting sqref="I56:I59">
    <cfRule type="dataBar" priority="2">
      <dataBar>
        <cfvo type="min"/>
        <cfvo type="max"/>
        <color rgb="FF00B050"/>
      </dataBar>
      <extLst>
        <ext xmlns:x14="http://schemas.microsoft.com/office/spreadsheetml/2009/9/main" uri="{B025F937-C7B1-47D3-B67F-A62EFF666E3E}">
          <x14:id>{BDDA515D-BCE5-460D-B5D4-9A37095DC08D}</x14:id>
        </ext>
      </extLst>
    </cfRule>
  </conditionalFormatting>
  <pageMargins left="0.7" right="0.7" top="0.75" bottom="0.75" header="0.3" footer="0.3"/>
  <tableParts count="5">
    <tablePart r:id="rId1"/>
    <tablePart r:id="rId2"/>
    <tablePart r:id="rId3"/>
    <tablePart r:id="rId4"/>
    <tablePart r:id="rId5"/>
  </tableParts>
  <extLst>
    <ext xmlns:x14="http://schemas.microsoft.com/office/spreadsheetml/2009/9/main" uri="{78C0D931-6437-407d-A8EE-F0AAD7539E65}">
      <x14:conditionalFormattings>
        <x14:conditionalFormatting xmlns:xm="http://schemas.microsoft.com/office/excel/2006/main">
          <x14:cfRule type="dataBar" id="{AD175AE1-6706-44C3-BA5A-DFF32B71EFFE}">
            <x14:dataBar minLength="0" maxLength="100" border="1" negativeBarBorderColorSameAsPositive="0">
              <x14:cfvo type="autoMin"/>
              <x14:cfvo type="autoMax"/>
              <x14:borderColor rgb="FF63C384"/>
              <x14:negativeFillColor rgb="FFFF0000"/>
              <x14:negativeBorderColor rgb="FFFF0000"/>
              <x14:axisColor rgb="FF000000"/>
            </x14:dataBar>
          </x14:cfRule>
          <xm:sqref>I3:I50</xm:sqref>
        </x14:conditionalFormatting>
        <x14:conditionalFormatting xmlns:xm="http://schemas.microsoft.com/office/excel/2006/main">
          <x14:cfRule type="dataBar" id="{C838788F-C118-4A17-BCEF-E3DF8661610C}">
            <x14:dataBar minLength="0" maxLength="100" gradient="0">
              <x14:cfvo type="autoMin"/>
              <x14:cfvo type="autoMax"/>
              <x14:negativeFillColor rgb="FFFF0000"/>
              <x14:axisColor rgb="FF000000"/>
            </x14:dataBar>
          </x14:cfRule>
          <xm:sqref>I4:I50</xm:sqref>
        </x14:conditionalFormatting>
        <x14:conditionalFormatting xmlns:xm="http://schemas.microsoft.com/office/excel/2006/main">
          <x14:cfRule type="dataBar" id="{ED8A52DD-B5B1-44F9-876F-6C9DA71800F6}">
            <x14:dataBar minLength="0" maxLength="100" border="1" negativeBarBorderColorSameAsPositive="0">
              <x14:cfvo type="autoMin"/>
              <x14:cfvo type="autoMax"/>
              <x14:borderColor rgb="FF63C384"/>
              <x14:negativeFillColor rgb="FFFF0000"/>
              <x14:negativeBorderColor rgb="FFFF0000"/>
              <x14:axisColor rgb="FF000000"/>
            </x14:dataBar>
          </x14:cfRule>
          <xm:sqref>I55:I59</xm:sqref>
        </x14:conditionalFormatting>
        <x14:conditionalFormatting xmlns:xm="http://schemas.microsoft.com/office/excel/2006/main">
          <x14:cfRule type="dataBar" id="{BDDA515D-BCE5-460D-B5D4-9A37095DC08D}">
            <x14:dataBar minLength="0" maxLength="100" gradient="0">
              <x14:cfvo type="autoMin"/>
              <x14:cfvo type="autoMax"/>
              <x14:negativeFillColor rgb="FFFF0000"/>
              <x14:axisColor rgb="FF000000"/>
            </x14:dataBar>
          </x14:cfRule>
          <xm:sqref>I56:I59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B2CEC-4D57-4904-A1EF-073AC0BE9127}">
  <dimension ref="A1:I7"/>
  <sheetViews>
    <sheetView workbookViewId="0">
      <selection activeCell="D16" sqref="D16"/>
    </sheetView>
  </sheetViews>
  <sheetFormatPr defaultRowHeight="14.4" x14ac:dyDescent="0.3"/>
  <cols>
    <col min="1" max="1" width="19.21875" customWidth="1"/>
    <col min="2" max="2" width="12.5546875" customWidth="1"/>
    <col min="4" max="4" width="15.6640625" customWidth="1"/>
    <col min="5" max="5" width="23.21875" customWidth="1"/>
    <col min="6" max="6" width="17.109375" customWidth="1"/>
    <col min="7" max="7" width="14.109375" customWidth="1"/>
    <col min="8" max="8" width="19.33203125" customWidth="1"/>
  </cols>
  <sheetData>
    <row r="1" spans="1:9" ht="54" x14ac:dyDescent="0.3">
      <c r="A1" s="10" t="s">
        <v>0</v>
      </c>
      <c r="B1" s="11" t="s">
        <v>1</v>
      </c>
      <c r="C1" s="11" t="s">
        <v>2</v>
      </c>
      <c r="D1" s="11" t="s">
        <v>3</v>
      </c>
      <c r="E1" s="11" t="s">
        <v>110</v>
      </c>
      <c r="F1" s="11" t="s">
        <v>111</v>
      </c>
      <c r="G1" s="11" t="s">
        <v>4</v>
      </c>
      <c r="H1" s="11" t="s">
        <v>5</v>
      </c>
      <c r="I1" s="12" t="s">
        <v>6</v>
      </c>
    </row>
    <row r="2" spans="1:9" x14ac:dyDescent="0.3">
      <c r="A2" s="4" t="s">
        <v>7</v>
      </c>
      <c r="B2" s="2" t="s">
        <v>8</v>
      </c>
      <c r="C2" s="2" t="s">
        <v>9</v>
      </c>
      <c r="D2" s="2" t="s">
        <v>10</v>
      </c>
      <c r="E2" s="3">
        <v>0.25</v>
      </c>
      <c r="F2" s="3">
        <v>0.375</v>
      </c>
      <c r="G2" s="2" t="s">
        <v>11</v>
      </c>
      <c r="H2" s="2" t="s">
        <v>12</v>
      </c>
      <c r="I2" s="5">
        <v>0</v>
      </c>
    </row>
    <row r="3" spans="1:9" x14ac:dyDescent="0.3">
      <c r="A3" s="4" t="s">
        <v>13</v>
      </c>
      <c r="B3" s="2" t="s">
        <v>14</v>
      </c>
      <c r="C3" s="2" t="s">
        <v>15</v>
      </c>
      <c r="D3" s="2" t="s">
        <v>16</v>
      </c>
      <c r="E3" s="3">
        <v>0.29166666666666702</v>
      </c>
      <c r="F3" s="3">
        <v>0.38194444444444442</v>
      </c>
      <c r="G3" s="2" t="s">
        <v>17</v>
      </c>
      <c r="H3" s="2" t="s">
        <v>18</v>
      </c>
      <c r="I3" s="5">
        <v>25</v>
      </c>
    </row>
    <row r="4" spans="1:9" x14ac:dyDescent="0.3">
      <c r="A4" s="4" t="s">
        <v>19</v>
      </c>
      <c r="B4" s="2" t="s">
        <v>20</v>
      </c>
      <c r="C4" s="2" t="s">
        <v>21</v>
      </c>
      <c r="D4" s="2" t="s">
        <v>9</v>
      </c>
      <c r="E4" s="3">
        <v>0.33333333333333298</v>
      </c>
      <c r="F4" s="3">
        <v>0.6875</v>
      </c>
      <c r="G4" s="2" t="s">
        <v>22</v>
      </c>
      <c r="H4" s="2" t="s">
        <v>12</v>
      </c>
      <c r="I4" s="5">
        <v>0</v>
      </c>
    </row>
    <row r="5" spans="1:9" ht="28.8" x14ac:dyDescent="0.3">
      <c r="A5" s="4" t="s">
        <v>23</v>
      </c>
      <c r="B5" s="2" t="s">
        <v>24</v>
      </c>
      <c r="C5" s="2" t="s">
        <v>25</v>
      </c>
      <c r="D5" s="2" t="s">
        <v>26</v>
      </c>
      <c r="E5" s="3">
        <v>0.375</v>
      </c>
      <c r="F5" s="3">
        <v>0.41666666666666669</v>
      </c>
      <c r="G5" s="2" t="s">
        <v>27</v>
      </c>
      <c r="H5" s="2" t="s">
        <v>12</v>
      </c>
      <c r="I5" s="5">
        <v>0</v>
      </c>
    </row>
    <row r="7" spans="1:9" x14ac:dyDescent="0.3">
      <c r="C7" t="e">
        <f ca="1">XLOOKUP("American",B1:B5,A1:A5)</f>
        <v>#NAME?</v>
      </c>
    </row>
  </sheetData>
  <conditionalFormatting sqref="H1:H5">
    <cfRule type="containsText" dxfId="0" priority="1" operator="containsText" text="Cancelled">
      <formula>NOT(ISERROR(SEARCH("Cancelled",H1)))</formula>
    </cfRule>
  </conditionalFormatting>
  <conditionalFormatting sqref="I1:I5">
    <cfRule type="dataBar" priority="3">
      <dataBar>
        <cfvo type="min"/>
        <cfvo type="max"/>
        <color rgb="FF63C384"/>
      </dataBar>
      <extLst>
        <ext xmlns:x14="http://schemas.microsoft.com/office/spreadsheetml/2009/9/main" uri="{B025F937-C7B1-47D3-B67F-A62EFF666E3E}">
          <x14:id>{A086AE6B-1F18-46F1-81EA-5BCE25D1B081}</x14:id>
        </ext>
      </extLst>
    </cfRule>
  </conditionalFormatting>
  <conditionalFormatting sqref="I2:I5">
    <cfRule type="dataBar" priority="2">
      <dataBar>
        <cfvo type="min"/>
        <cfvo type="max"/>
        <color rgb="FF00B050"/>
      </dataBar>
      <extLst>
        <ext xmlns:x14="http://schemas.microsoft.com/office/spreadsheetml/2009/9/main" uri="{B025F937-C7B1-47D3-B67F-A62EFF666E3E}">
          <x14:id>{74D861D6-CBC7-4EBF-953D-BA4837376F4D}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A086AE6B-1F18-46F1-81EA-5BCE25D1B081}">
            <x14:dataBar minLength="0" maxLength="100" border="1" negativeBarBorderColorSameAsPositive="0">
              <x14:cfvo type="autoMin"/>
              <x14:cfvo type="autoMax"/>
              <x14:borderColor rgb="FF63C384"/>
              <x14:negativeFillColor rgb="FFFF0000"/>
              <x14:negativeBorderColor rgb="FFFF0000"/>
              <x14:axisColor rgb="FF000000"/>
            </x14:dataBar>
          </x14:cfRule>
          <xm:sqref>I1:I5</xm:sqref>
        </x14:conditionalFormatting>
        <x14:conditionalFormatting xmlns:xm="http://schemas.microsoft.com/office/excel/2006/main">
          <x14:cfRule type="dataBar" id="{74D861D6-CBC7-4EBF-953D-BA4837376F4D}">
            <x14:dataBar minLength="0" maxLength="100" gradient="0">
              <x14:cfvo type="autoMin"/>
              <x14:cfvo type="autoMax"/>
              <x14:negativeFillColor rgb="FFFF0000"/>
              <x14:axisColor rgb="FF000000"/>
            </x14:dataBar>
          </x14:cfRule>
          <xm:sqref>I2:I5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Sheet1</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Anuja More</dc:creator>
  <cp:lastModifiedBy>Anuja More</cp:lastModifiedBy>
  <dcterms:created xsi:type="dcterms:W3CDTF">2025-09-08T16:44:32Z</dcterms:created>
  <dcterms:modified xsi:type="dcterms:W3CDTF">2025-09-11T01:59:45Z</dcterms:modified>
</cp:coreProperties>
</file>